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to PvP - AoM2\"/>
    </mc:Choice>
  </mc:AlternateContent>
  <xr:revisionPtr revIDLastSave="0" documentId="13_ncr:1_{9DA3B8D6-DC25-4F52-9D8E-E2BE636D528C}" xr6:coauthVersionLast="47" xr6:coauthVersionMax="47" xr10:uidLastSave="{00000000-0000-0000-0000-000000000000}"/>
  <bookViews>
    <workbookView xWindow="390" yWindow="0" windowWidth="20850" windowHeight="15600" tabRatio="0" firstSheet="1" activeTab="1" xr2:uid="{E8D294EF-08F4-450F-A52E-7C7D70BF0B60}"/>
  </bookViews>
  <sheets>
    <sheet name="Dados" sheetId="10" state="hidden" r:id="rId1"/>
    <sheet name="Home" sheetId="9" r:id="rId2"/>
    <sheet name="Info" sheetId="1" state="hidden" r:id="rId3"/>
    <sheet name="Roadmap Geral" sheetId="8" r:id="rId4"/>
    <sheet name="LvL e Skills" sheetId="11" r:id="rId5"/>
    <sheet name="Missões" sheetId="4" r:id="rId6"/>
    <sheet name="Equipamentos e Build" sheetId="5" r:id="rId7"/>
    <sheet name="Pedras do Dragão" sheetId="6" r:id="rId8"/>
    <sheet name="Controle de Custos" sheetId="3" r:id="rId9"/>
    <sheet name="Registro de Erros" sheetId="13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1" l="1"/>
  <c r="H22" i="11"/>
  <c r="H21" i="11"/>
  <c r="H20" i="11"/>
  <c r="H10" i="11"/>
  <c r="H11" i="11"/>
  <c r="H12" i="11"/>
  <c r="H13" i="11"/>
  <c r="H14" i="11"/>
  <c r="H15" i="11"/>
  <c r="H16" i="11"/>
  <c r="H17" i="11"/>
  <c r="H9" i="11"/>
  <c r="F16" i="11"/>
  <c r="F14" i="11"/>
  <c r="F13" i="11"/>
  <c r="F12" i="11"/>
  <c r="F11" i="11"/>
  <c r="F10" i="11"/>
  <c r="F9" i="11"/>
  <c r="C11" i="11"/>
</calcChain>
</file>

<file path=xl/sharedStrings.xml><?xml version="1.0" encoding="utf-8"?>
<sst xmlns="http://schemas.openxmlformats.org/spreadsheetml/2006/main" count="514" uniqueCount="321">
  <si>
    <t>Projeto - High LvL | War</t>
  </si>
  <si>
    <t>Criar o personagem</t>
  </si>
  <si>
    <t>Pedras do Dragão</t>
  </si>
  <si>
    <t>Recursos de Guerra</t>
  </si>
  <si>
    <t xml:space="preserve">Gemas nos Itens </t>
  </si>
  <si>
    <t>Ajuste de Reduções</t>
  </si>
  <si>
    <t>Ajuste de Reduções - Jollas</t>
  </si>
  <si>
    <t>Classe: Guerreiro | Bispão</t>
  </si>
  <si>
    <t>Se você tem desejo de participar das guerras assim como eu, esse guia irá servir de base para você tem um passo a passo do que precisa fazer. Então, vamos nessa !</t>
  </si>
  <si>
    <t>Objetivo</t>
  </si>
  <si>
    <t>O que fazer</t>
  </si>
  <si>
    <t>Habilidades</t>
  </si>
  <si>
    <t>Estágio P</t>
  </si>
  <si>
    <t>LvL Up 1 ao 120
Gruta Gomi 1º: 1 - 40
Gruta Comi 3º: 40 - 75
Gruta Chun 2: 75 - 95
Floresta Encantada: Lvl95 - 120</t>
  </si>
  <si>
    <t>Escolher qual tipo de habilidade
Colocar no estágio "P"</t>
  </si>
  <si>
    <t>Missões de bônus fixos no Personagem
[Biologo]</t>
  </si>
  <si>
    <t>Ambição</t>
  </si>
  <si>
    <r>
      <rPr>
        <b/>
        <sz val="8"/>
        <color theme="1"/>
        <rFont val="Calibri"/>
        <family val="2"/>
        <scheme val="minor"/>
      </rPr>
      <t>Equipamentos</t>
    </r>
    <r>
      <rPr>
        <sz val="8"/>
        <color theme="1"/>
        <rFont val="Calibri"/>
        <family val="2"/>
        <scheme val="minor"/>
      </rPr>
      <t xml:space="preserve">
• </t>
    </r>
    <r>
      <rPr>
        <b/>
        <sz val="8"/>
        <color theme="1"/>
        <rFont val="Calibri"/>
        <family val="2"/>
        <scheme val="minor"/>
      </rPr>
      <t>Craft</t>
    </r>
    <r>
      <rPr>
        <sz val="8"/>
        <color theme="1"/>
        <rFont val="Calibri"/>
        <family val="2"/>
        <scheme val="minor"/>
      </rPr>
      <t xml:space="preserve">: 
- ELMO 80 + 9 - OK
- Elmo IDAL 1x
</t>
    </r>
    <r>
      <rPr>
        <b/>
        <sz val="8"/>
        <color theme="1"/>
        <rFont val="Calibri"/>
        <family val="2"/>
        <scheme val="minor"/>
      </rPr>
      <t>• Arma do 96 (Despertar)</t>
    </r>
    <r>
      <rPr>
        <sz val="8"/>
        <color theme="1"/>
        <rFont val="Calibri"/>
        <family val="2"/>
        <scheme val="minor"/>
      </rPr>
      <t xml:space="preserve">
</t>
    </r>
    <r>
      <rPr>
        <b/>
        <sz val="8"/>
        <color theme="1"/>
        <rFont val="Calibri"/>
        <family val="2"/>
        <scheme val="minor"/>
      </rPr>
      <t>• Armadura Redução SKILL 4x15 Redução Classe</t>
    </r>
    <r>
      <rPr>
        <sz val="8"/>
        <color theme="1"/>
        <rFont val="Calibri"/>
        <family val="2"/>
        <scheme val="minor"/>
      </rPr>
      <t xml:space="preserve">
</t>
    </r>
    <r>
      <rPr>
        <b/>
        <sz val="8"/>
        <color theme="1"/>
        <rFont val="Calibri"/>
        <family val="2"/>
        <scheme val="minor"/>
      </rPr>
      <t xml:space="preserve">• Refinação 0 ~+9 ~ +15
• Faixa Bônus ou Redução
• Aura
• Pingente PvP + 0 ~ + 200
</t>
    </r>
    <r>
      <rPr>
        <sz val="8"/>
        <color theme="1"/>
        <rFont val="Calibri"/>
        <family val="2"/>
        <scheme val="minor"/>
      </rPr>
      <t xml:space="preserve">Bônus verdes (5% ignorar arma + 10% Resistência contra humanóide + 10 Bônus contra Humanóides)
Bônus amerelo (10% Bônus contra Humanóides + Ataque)
</t>
    </r>
    <r>
      <rPr>
        <b/>
        <sz val="8"/>
        <color theme="1"/>
        <rFont val="Calibri"/>
        <family val="2"/>
        <scheme val="minor"/>
      </rPr>
      <t>• Luva do Poder</t>
    </r>
    <r>
      <rPr>
        <sz val="8"/>
        <color theme="1"/>
        <rFont val="Calibri"/>
        <family val="2"/>
        <scheme val="minor"/>
      </rPr>
      <t xml:space="preserve">
Status + Redução Humanoide
</t>
    </r>
    <r>
      <rPr>
        <b/>
        <sz val="8"/>
        <color theme="1"/>
        <rFont val="Calibri"/>
        <family val="2"/>
        <scheme val="minor"/>
      </rPr>
      <t>• Trajes</t>
    </r>
    <r>
      <rPr>
        <sz val="8"/>
        <color theme="1"/>
        <rFont val="Calibri"/>
        <family val="2"/>
        <scheme val="minor"/>
      </rPr>
      <t xml:space="preserve">
Cabeça, Corpo e Arma | 5 Kit Trajes
// Porém, tudo depende do quanto</t>
    </r>
  </si>
  <si>
    <r>
      <rPr>
        <b/>
        <sz val="8"/>
        <color theme="1"/>
        <rFont val="Calibri"/>
        <family val="2"/>
        <scheme val="minor"/>
      </rPr>
      <t xml:space="preserve">Pedras do Dragão
</t>
    </r>
    <r>
      <rPr>
        <sz val="8"/>
        <color theme="1"/>
        <rFont val="Calibri"/>
        <family val="2"/>
        <scheme val="minor"/>
      </rPr>
      <t xml:space="preserve">
• Ruby - Possui
Build TESTE
• Diamante Resplandescente  - Não Possui
- Redução SKILL e Dano SKILL
• Jade Resplandescente - Não Possui
- % HP 
Safira Brilhante - Possui
- 3 Reduções
Onix Resplandescente - Não Possui
- Bloquear Ataque Físico
- Esquivar Flexas
- Redução Critico
- Redução Perfurar
Granada Resplandescente - Possui
</t>
    </r>
  </si>
  <si>
    <t>Missões de bônus fixos no Personagem
[Onilah]</t>
  </si>
  <si>
    <t>Livros de Habilidade
Exorcismo
Feijão Zen
Eremita
Pedra Espiritual</t>
  </si>
  <si>
    <t>Fase</t>
  </si>
  <si>
    <t>Status</t>
  </si>
  <si>
    <t>%Concluído</t>
  </si>
  <si>
    <t>Prioridade</t>
  </si>
  <si>
    <t>Observação</t>
  </si>
  <si>
    <t>Up 1 -120</t>
  </si>
  <si>
    <t>LvL 120</t>
  </si>
  <si>
    <t>Skill Passivas</t>
  </si>
  <si>
    <t>Faixas e Aura</t>
  </si>
  <si>
    <t>Biologo e Ohnilag</t>
  </si>
  <si>
    <t>Resplandecente/Brilhante</t>
  </si>
  <si>
    <t>Dano/Redução</t>
  </si>
  <si>
    <t>Redução classe e % vida</t>
  </si>
  <si>
    <t>Em andamento</t>
  </si>
  <si>
    <t>As quests do Girab Biólogo são as mais demoradas do game, porém você pode entragar a cada 08 horas. Além disso,  o item Soro da Persuasão (Normal ou +) ajuda na aceitação dos itens entregues nas quests do Girab e Ohnilag e o item Espiral do Tempo (10%, 20%, 30%, 50% ou 100%) reduz o tempo de entrega. Essas quests são extremamente importantes para garantir o máximo desempenho do Personagem.</t>
  </si>
  <si>
    <t>Link do Vídeo</t>
  </si>
  <si>
    <t>Estágio</t>
  </si>
  <si>
    <t>Bônus e Redução Fogo: 16%
Resistência a Dano: 24%
Ataque: +480
Dano: 24%
Defesa: +320</t>
  </si>
  <si>
    <t>Bônus e Redução Gelo: 16%
Resistência a Skill: +24%
Dano de Skill: +24%
Proteção Mágica: +24
Ataque Mágico: +24</t>
  </si>
  <si>
    <t>Bônus e Redução Vento: 16%
16% dos danos serão absorvidos pela VD
8% Probabilidade de restaurar VD
Regeneração de VD: +16%
HP Máximo: +4.800
HP Máximo +32%</t>
  </si>
  <si>
    <t>Bônus e Redução Relampago: 16%
16% dos danos serão absorvidos pelo MP
+8% Chance de Restaurar MP
Regeneração de MP: +16%
MP Máximo: +2.400
MP Máximo: +32%</t>
  </si>
  <si>
    <t>Biologo</t>
  </si>
  <si>
    <t>Ohnilag</t>
  </si>
  <si>
    <t>Missão</t>
  </si>
  <si>
    <t>Check-List</t>
  </si>
  <si>
    <t>Missões</t>
  </si>
  <si>
    <t>Quest Nível 92 
Dropar: 10 Jóias da Malevolência 
Recompensa: Você deve escolher uma das seguintes recompensas abaixo:
HP +1000
Ataque +51
Defesa +120</t>
  </si>
  <si>
    <t>Quest Nível 94 
Dropar: 20 Jóias da Sabedoria
(Após entregar as 20 unidades da jóia, você terá que enfrentar o Dragão da Água e dropar o item Pedra da Alma e entregar ao Ohnilag)
Recompensa: Você deve escolher uma das seguintes recompensas abaixo:
HP +1100
Ataque +60
Defesa +140</t>
  </si>
  <si>
    <t>Check-list</t>
  </si>
  <si>
    <t>Em Andamento</t>
  </si>
  <si>
    <t>Finalizado</t>
  </si>
  <si>
    <t>Não Iniciado</t>
  </si>
  <si>
    <t>Alta</t>
  </si>
  <si>
    <t>Média</t>
  </si>
  <si>
    <t>Baixa</t>
  </si>
  <si>
    <t>Muito Alta</t>
  </si>
  <si>
    <t>LvL atual</t>
  </si>
  <si>
    <t>Meta</t>
  </si>
  <si>
    <t>Habilidade</t>
  </si>
  <si>
    <t>Classe</t>
  </si>
  <si>
    <t>Habilidades - Estágio</t>
  </si>
  <si>
    <t>M</t>
  </si>
  <si>
    <t>G</t>
  </si>
  <si>
    <t>P</t>
  </si>
  <si>
    <t>Classes</t>
  </si>
  <si>
    <t>Guerreiro Arahan</t>
  </si>
  <si>
    <t>Guerreiro Partizan</t>
  </si>
  <si>
    <t>Shura Miragem</t>
  </si>
  <si>
    <t>Ninja Adaga</t>
  </si>
  <si>
    <t>Ninja Arqueiro</t>
  </si>
  <si>
    <t>Shaman Dragão</t>
  </si>
  <si>
    <t>Shaman Relampago</t>
  </si>
  <si>
    <t>Lycan</t>
  </si>
  <si>
    <t>Shura Magia Negra</t>
  </si>
  <si>
    <t>Skil 1</t>
  </si>
  <si>
    <t>Skil 2</t>
  </si>
  <si>
    <t>Skil 3</t>
  </si>
  <si>
    <t>Skil 4</t>
  </si>
  <si>
    <t>Skil 5</t>
  </si>
  <si>
    <t>Skil 6</t>
  </si>
  <si>
    <t>Skil 9</t>
  </si>
  <si>
    <t>Técnica Cortante</t>
  </si>
  <si>
    <t>Tremor</t>
  </si>
  <si>
    <t>Impacto Terreste</t>
  </si>
  <si>
    <t>Disparo de Energia</t>
  </si>
  <si>
    <t>Defesa Superior</t>
  </si>
  <si>
    <t>Espada Celeste</t>
  </si>
  <si>
    <t>Skill 7 - Guarda</t>
  </si>
  <si>
    <t>Skill 8  - Reforço</t>
  </si>
  <si>
    <t>Lamina Sombria</t>
  </si>
  <si>
    <t>Ciclone</t>
  </si>
  <si>
    <t>Palmo de Energia</t>
  </si>
  <si>
    <t>Medo</t>
  </si>
  <si>
    <t>Dissipar Magia</t>
  </si>
  <si>
    <t>Aura negra</t>
  </si>
  <si>
    <t>Skill</t>
  </si>
  <si>
    <t>LIVRE</t>
  </si>
  <si>
    <t>Vortice</t>
  </si>
  <si>
    <t>Esfera Espiritual</t>
  </si>
  <si>
    <t>Punhalada</t>
  </si>
  <si>
    <t>Campo Estático</t>
  </si>
  <si>
    <t>Habilidades por Classe</t>
  </si>
  <si>
    <t>Habilidade Guarda</t>
  </si>
  <si>
    <t>Item</t>
  </si>
  <si>
    <t>Elmo Idal</t>
  </si>
  <si>
    <t>Arma do 96</t>
  </si>
  <si>
    <t>Armadura Redu. Skill</t>
  </si>
  <si>
    <t>+9</t>
  </si>
  <si>
    <t>+15</t>
  </si>
  <si>
    <t>Aura</t>
  </si>
  <si>
    <t>Luva do Poder</t>
  </si>
  <si>
    <t>Trajes</t>
  </si>
  <si>
    <t>Faixa Bônus</t>
  </si>
  <si>
    <t>Faixa Redução</t>
  </si>
  <si>
    <t>Pingente PvP</t>
  </si>
  <si>
    <t>Bônus Ideal</t>
  </si>
  <si>
    <t>+200 ~ +250</t>
  </si>
  <si>
    <t>+0 ~ +200</t>
  </si>
  <si>
    <t>-</t>
  </si>
  <si>
    <t>10% Bônus Contra Humanóide
15% Redução Magia
15% ~ 20% Bônus Classe</t>
  </si>
  <si>
    <t>4x15 Redução Classe
Redução Arma</t>
  </si>
  <si>
    <t>Resistência Humanóide 
12 pontos de Status</t>
  </si>
  <si>
    <t>1º Safira
2º Armadura
3º Colar</t>
  </si>
  <si>
    <t>Recursos PvP</t>
  </si>
  <si>
    <t>Power Pet</t>
  </si>
  <si>
    <t>Pet</t>
  </si>
  <si>
    <t>Inspiração</t>
  </si>
  <si>
    <t>Lideraça</t>
  </si>
  <si>
    <t>Fases</t>
  </si>
  <si>
    <t>+0</t>
  </si>
  <si>
    <t>2000 Hp
50 Ataque
20% Velo.Skill
10% Classe
50 Ataque / 5 Status / 10% Classe</t>
  </si>
  <si>
    <t>4x15 Redução Classe</t>
  </si>
  <si>
    <t>Bracelete depende</t>
  </si>
  <si>
    <t>Cinto Depende</t>
  </si>
  <si>
    <t>Escudo Depende</t>
  </si>
  <si>
    <t>Colar de Ouro ou qualquer um 4x15</t>
  </si>
  <si>
    <t>Brinco Ruby</t>
  </si>
  <si>
    <t>Fazer o que você pode</t>
  </si>
  <si>
    <t>Oportunidades</t>
  </si>
  <si>
    <t>Evolua por partes</t>
  </si>
  <si>
    <t>Melhorar todas semanas</t>
  </si>
  <si>
    <t>Classe/Sangrento</t>
  </si>
  <si>
    <t>20% ~ 25%</t>
  </si>
  <si>
    <t>Arma do Desperta + 15</t>
  </si>
  <si>
    <t>Bota Oceânica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</si>
  <si>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</si>
  <si>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</si>
  <si>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</si>
  <si>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</si>
  <si>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</si>
  <si>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</si>
  <si>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</si>
  <si>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</si>
  <si>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</si>
  <si>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</si>
  <si>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</si>
  <si>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</si>
  <si>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</si>
  <si>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</si>
  <si>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</si>
  <si>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Bônus e Reduções</t>
  </si>
  <si>
    <t>Colar</t>
  </si>
  <si>
    <t>Bracelete</t>
  </si>
  <si>
    <t>Cinto classe</t>
  </si>
  <si>
    <t>Escudo</t>
  </si>
  <si>
    <t>Brinco</t>
  </si>
  <si>
    <t>Bota</t>
  </si>
  <si>
    <t>Arma do Despertar</t>
  </si>
  <si>
    <t>Quest Nível 30
10% de velocidade de movimento. (Eternamente)</t>
  </si>
  <si>
    <t>Quest Nível 40 
Bônus de +5% de Velocidade de Ataque. (Eternamente)</t>
  </si>
  <si>
    <t>Quest Nível 70 
 +11 de Velocidade de Movimento, +10% em Força defensiva (redução a dano). (Eternamente)</t>
  </si>
  <si>
    <t>Quest Nível 85 
Bônus de 10% de Resistência a classes. (Eternamente)</t>
  </si>
  <si>
    <t>Quest Nível 90 
Recompensa: Bônus de 8% contra as classes. (Eternamente)</t>
  </si>
  <si>
    <t>Quest Nível 50 
Bônus de +60 de defesa. (Eternamente)</t>
  </si>
  <si>
    <t>Quest Nível 60
Bônus de +50 de Ataque. (Eternamente)</t>
  </si>
  <si>
    <t xml:space="preserve">Pedra </t>
  </si>
  <si>
    <t xml:space="preserve"> Grau </t>
  </si>
  <si>
    <t xml:space="preserve"> Ideal PvP </t>
  </si>
  <si>
    <t xml:space="preserve"> Prioridade </t>
  </si>
  <si>
    <t xml:space="preserve"> Custo Estimado </t>
  </si>
  <si>
    <t>Diamante</t>
  </si>
  <si>
    <t>Ruby</t>
  </si>
  <si>
    <t>Safira</t>
  </si>
  <si>
    <t>Jade</t>
  </si>
  <si>
    <t>Onix</t>
  </si>
  <si>
    <t>Granada</t>
  </si>
  <si>
    <t>Mítico</t>
  </si>
  <si>
    <r>
      <rPr>
        <b/>
        <sz val="10"/>
        <color theme="1"/>
        <rFont val="Calibri"/>
        <family val="2"/>
        <scheme val="minor"/>
      </rPr>
      <t>Resplandecente
Dano a SKILL
Redução a SKILL
+</t>
    </r>
    <r>
      <rPr>
        <sz val="10"/>
        <color theme="1"/>
        <rFont val="Calibri"/>
        <family val="2"/>
        <scheme val="minor"/>
      </rPr>
      <t xml:space="preserve">
Guerreiro: Proteção Mágica
Shura: Ataque Mágico
Shaman: Ataque Mágico
Ninja: Proteção Mágica
Lycan: Proteção Mágica</t>
    </r>
  </si>
  <si>
    <t>700 w</t>
  </si>
  <si>
    <t>1000w</t>
  </si>
  <si>
    <t>Resplandecente com ou sem bônus.</t>
  </si>
  <si>
    <r>
      <rPr>
        <b/>
        <sz val="10"/>
        <color theme="1"/>
        <rFont val="Calibri"/>
        <family val="2"/>
        <scheme val="minor"/>
      </rPr>
      <t xml:space="preserve">Replandecente: 
</t>
    </r>
    <r>
      <rPr>
        <sz val="10"/>
        <color theme="1"/>
        <rFont val="Calibri"/>
        <family val="2"/>
        <scheme val="minor"/>
      </rPr>
      <t>Bônus e Redução Terra: 16%</t>
    </r>
    <r>
      <rPr>
        <b/>
        <sz val="1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Res. a danos de Guerreiro/Ninja/Sura/Xamã/Lycan +24%
Bônus: Forte contra Guerreiro/Ninja/Sura/Xamã/Lycan +24%
</t>
    </r>
    <r>
      <rPr>
        <b/>
        <sz val="10"/>
        <color theme="1"/>
        <rFont val="Calibri"/>
        <family val="2"/>
        <scheme val="minor"/>
      </rPr>
      <t>Brilhante</t>
    </r>
    <r>
      <rPr>
        <sz val="10"/>
        <color theme="1"/>
        <rFont val="Calibri"/>
        <family val="2"/>
        <scheme val="minor"/>
      </rPr>
      <t>:
Bônus e Redução Terra: 12%
Res. a danos de Guerreiro/Ninja/Sura/Xamã/Lycan +18%
Forte contra Guerreiro/Ninja/Sura/Xamã/Lycan +18%</t>
    </r>
  </si>
  <si>
    <t>https://www.youtube.com/@BispoShinsu</t>
  </si>
  <si>
    <t>Redução Espada
Redução Garra
Bônus Humanoide</t>
  </si>
  <si>
    <t>Redução Espada
Redução Espada de Duas Mãos
Redução Garra
Redução Bônus
1500/2000 HP
Não coloca redução adaga por que ninja já vai bugado</t>
  </si>
  <si>
    <t>Armadura do Despertar + 15 
3x15 Classe 1x10 Classe
ou
4x15 Classe</t>
  </si>
  <si>
    <t>Colar Ouro
3x15 Classe 1x10 Classe
ou
4x15 Classe</t>
  </si>
  <si>
    <t>Comprado</t>
  </si>
  <si>
    <t>Não</t>
  </si>
  <si>
    <t>80w a 100w</t>
  </si>
  <si>
    <r>
      <rPr>
        <b/>
        <sz val="10"/>
        <color theme="1"/>
        <rFont val="Calibri"/>
        <family val="2"/>
        <scheme val="minor"/>
      </rPr>
      <t>Brilhante:</t>
    </r>
    <r>
      <rPr>
        <sz val="10"/>
        <color theme="1"/>
        <rFont val="Calibri"/>
        <family val="2"/>
        <scheme val="minor"/>
      </rPr>
      <t xml:space="preserve">
100w a 150w
</t>
    </r>
    <r>
      <rPr>
        <b/>
        <sz val="10"/>
        <color theme="1"/>
        <rFont val="Calibri"/>
        <family val="2"/>
        <scheme val="minor"/>
      </rPr>
      <t>Resplandecente:</t>
    </r>
    <r>
      <rPr>
        <sz val="10"/>
        <color theme="1"/>
        <rFont val="Calibri"/>
        <family val="2"/>
        <scheme val="minor"/>
      </rPr>
      <t xml:space="preserve">
500w</t>
    </r>
  </si>
  <si>
    <r>
      <rPr>
        <b/>
        <sz val="10"/>
        <color theme="1"/>
        <rFont val="Calibri"/>
        <family val="2"/>
        <scheme val="minor"/>
      </rPr>
      <t>Brilhante:</t>
    </r>
    <r>
      <rPr>
        <sz val="10"/>
        <color theme="1"/>
        <rFont val="Calibri"/>
        <family val="2"/>
        <scheme val="minor"/>
      </rPr>
      <t xml:space="preserve">
80w a 140w
</t>
    </r>
    <r>
      <rPr>
        <b/>
        <sz val="10"/>
        <color theme="1"/>
        <rFont val="Calibri"/>
        <family val="2"/>
        <scheme val="minor"/>
      </rPr>
      <t>Resplandecente Semi-Perfeita:</t>
    </r>
    <r>
      <rPr>
        <sz val="10"/>
        <color theme="1"/>
        <rFont val="Calibri"/>
        <family val="2"/>
        <scheme val="minor"/>
      </rPr>
      <t xml:space="preserve">
600w
</t>
    </r>
    <r>
      <rPr>
        <b/>
        <sz val="10"/>
        <color theme="1"/>
        <rFont val="Calibri"/>
        <family val="2"/>
        <scheme val="minor"/>
      </rPr>
      <t>Resplandecente Perfeita:</t>
    </r>
    <r>
      <rPr>
        <sz val="10"/>
        <color theme="1"/>
        <rFont val="Calibri"/>
        <family val="2"/>
        <scheme val="minor"/>
      </rPr>
      <t xml:space="preserve">
600w a 1200w</t>
    </r>
  </si>
  <si>
    <r>
      <rPr>
        <b/>
        <sz val="10"/>
        <color theme="1"/>
        <rFont val="Calibri"/>
        <family val="2"/>
        <scheme val="minor"/>
      </rPr>
      <t>Brilhante:</t>
    </r>
    <r>
      <rPr>
        <sz val="10"/>
        <color theme="1"/>
        <rFont val="Calibri"/>
        <family val="2"/>
        <scheme val="minor"/>
      </rPr>
      <t xml:space="preserve">
200w a 300w
</t>
    </r>
    <r>
      <rPr>
        <b/>
        <sz val="10"/>
        <color theme="1"/>
        <rFont val="Calibri"/>
        <family val="2"/>
        <scheme val="minor"/>
      </rPr>
      <t>Resplandecente:</t>
    </r>
    <r>
      <rPr>
        <sz val="10"/>
        <color theme="1"/>
        <rFont val="Calibri"/>
        <family val="2"/>
        <scheme val="minor"/>
      </rPr>
      <t xml:space="preserve">
4000w a 6000w</t>
    </r>
  </si>
  <si>
    <t>Dragão Veloz</t>
  </si>
  <si>
    <t>Flecha de Fogo</t>
  </si>
  <si>
    <t>Sopro do Lobo</t>
  </si>
  <si>
    <t>Tempestade de Garras</t>
  </si>
  <si>
    <t>Proteção de Éter</t>
  </si>
  <si>
    <t>Meteoro</t>
  </si>
  <si>
    <t>Disparo Tormenta</t>
  </si>
  <si>
    <t>Onda da Morte</t>
  </si>
  <si>
    <t>Golpe Infernal</t>
  </si>
  <si>
    <t>Terremoto</t>
  </si>
  <si>
    <t>Luz Astral</t>
  </si>
  <si>
    <t>Quest Nível 100 | Ambição
 Item: Joia da Ambição
Entregas: 50 unidades
Cooldown: 8 horas
Drop: MD: Dragão de Água  |  MD: Nemere  |  MD: Yamacheon  |  MD: Jotun Thrym  |  MD: Orcus
Opções de Recompensa: Dano de Skill: +15%  |  Bônus contra Humanoides: +15  |  Ataque Físico/Mágico: +13%</t>
  </si>
  <si>
    <t xml:space="preserve">Seja bem-vindo à jornada. A partir daqui, cada etapa cumprida representa avanço real rumo ao objetivo final. </t>
  </si>
  <si>
    <t>Equipamentos e Trajes</t>
  </si>
  <si>
    <t>Pet, consumíveis e pacotes</t>
  </si>
  <si>
    <t>Especialista em:</t>
  </si>
  <si>
    <t>Barbatos</t>
  </si>
  <si>
    <t>Beserker</t>
  </si>
  <si>
    <t>Gembu</t>
  </si>
  <si>
    <t>Site</t>
  </si>
  <si>
    <t>13%-14% Ninja
13%-14% Shura
13%-14% Shaman
12% Demais Classes</t>
  </si>
  <si>
    <t>13%-14% Guerreiro
13%-14% Ninja
13%-14% Shaman
12% Demais Classes</t>
  </si>
  <si>
    <t>13%-14% Guerreiro
13%-14% Ninja
13%-14% Lycan
12% Demais Classes</t>
  </si>
  <si>
    <t>Executor</t>
  </si>
  <si>
    <t>Berserker +8-16%
12% Demais Classes</t>
  </si>
  <si>
    <t>HP Máximo: +2000
Ataque Físico/Ataque Mágico: +15%
Bônus contra Humanoides: +20%</t>
  </si>
  <si>
    <t>Energético 10%</t>
  </si>
  <si>
    <t>Bracelete do Tigre</t>
  </si>
  <si>
    <t>Anel Lua Crescente</t>
  </si>
  <si>
    <t>Pacote Ouro</t>
  </si>
  <si>
    <t>Peixes (FOR e DEX)</t>
  </si>
  <si>
    <t>Fogos de artifício ou Pião (Stun)</t>
  </si>
  <si>
    <t>Pot cash</t>
  </si>
  <si>
    <t>Informações</t>
  </si>
  <si>
    <t>Aumenta por duas horas os bónus dos itens equipados até 10%.</t>
  </si>
  <si>
    <t>Porções +</t>
  </si>
  <si>
    <t xml:space="preserve">Porção da City 2 </t>
  </si>
  <si>
    <t>Bônus Contra Humanóide 20% | 15% Crítico</t>
  </si>
  <si>
    <r>
      <rPr>
        <b/>
        <sz val="11"/>
        <color theme="1"/>
        <rFont val="Calibri"/>
        <family val="2"/>
        <scheme val="minor"/>
      </rPr>
      <t>Porções ativas:</t>
    </r>
    <r>
      <rPr>
        <sz val="11"/>
        <color theme="1"/>
        <rFont val="Calibri"/>
        <family val="2"/>
        <scheme val="minor"/>
      </rPr>
      <t xml:space="preserve">
Vida Deus Dragão* | Ataq. Deus Dragão* | Saber Deus Dragão* | Def. Deus Dragão* | Aux. Deus Dragão* | Palma da Precisão* | Palma Perfurante* | Manto da Bravura* | Poção do Rato* | Poção do Galo* | Poção do Coelho* | Poção do Porco* | Poção da Serpente* | Poção do Boi* | Poção Guepardo* | Poção Puma</t>
    </r>
  </si>
  <si>
    <t>Sushi de Salmão (Atk)</t>
  </si>
  <si>
    <t>Baú da Vitalidade 
Unidade: 15
Quantidade: 200
Total: 3.000 Poções Regeneradoras (P)</t>
  </si>
  <si>
    <t>Chance de Atordoa Oponente 5%</t>
  </si>
  <si>
    <t>Ataque+ | Defesa+ | Vida+ | Status+
Palma de Precisão + e Perfurante +</t>
  </si>
  <si>
    <r>
      <rPr>
        <b/>
        <sz val="11"/>
        <color theme="1"/>
        <rFont val="Calibri"/>
        <family val="2"/>
        <scheme val="minor"/>
      </rPr>
      <t>Jin-Wha</t>
    </r>
    <r>
      <rPr>
        <sz val="11"/>
        <color theme="1"/>
        <rFont val="Calibri"/>
        <family val="2"/>
        <scheme val="minor"/>
      </rPr>
      <t xml:space="preserve">r: 50 ATK
</t>
    </r>
    <r>
      <rPr>
        <b/>
        <sz val="11"/>
        <color theme="1"/>
        <rFont val="Calibri"/>
        <family val="2"/>
        <scheme val="minor"/>
      </rPr>
      <t>Pidok</t>
    </r>
    <r>
      <rPr>
        <sz val="11"/>
        <color theme="1"/>
        <rFont val="Calibri"/>
        <family val="2"/>
        <scheme val="minor"/>
      </rPr>
      <t xml:space="preserve">: 10% Crítico
</t>
    </r>
    <r>
      <rPr>
        <b/>
        <sz val="11"/>
        <color theme="1"/>
        <rFont val="Calibri"/>
        <family val="2"/>
        <scheme val="minor"/>
      </rPr>
      <t>Doraji</t>
    </r>
    <r>
      <rPr>
        <sz val="11"/>
        <color theme="1"/>
        <rFont val="Calibri"/>
        <family val="2"/>
        <scheme val="minor"/>
      </rPr>
      <t xml:space="preserve">: 5 FOR
</t>
    </r>
    <r>
      <rPr>
        <b/>
        <sz val="11"/>
        <color theme="1"/>
        <rFont val="Calibri"/>
        <family val="2"/>
        <scheme val="minor"/>
      </rPr>
      <t>Whar</t>
    </r>
    <r>
      <rPr>
        <sz val="11"/>
        <color theme="1"/>
        <rFont val="Calibri"/>
        <family val="2"/>
        <scheme val="minor"/>
      </rPr>
      <t xml:space="preserve">: 10% Perfurar
</t>
    </r>
    <r>
      <rPr>
        <b/>
        <sz val="11"/>
        <color theme="1"/>
        <rFont val="Calibri"/>
        <family val="2"/>
        <scheme val="minor"/>
      </rPr>
      <t>Jin-Bowhan</t>
    </r>
    <r>
      <rPr>
        <sz val="11"/>
        <color theme="1"/>
        <rFont val="Calibri"/>
        <family val="2"/>
        <scheme val="minor"/>
      </rPr>
      <t>: 10% Redução Magia</t>
    </r>
  </si>
  <si>
    <t>Demais Pets</t>
  </si>
  <si>
    <r>
      <rPr>
        <b/>
        <sz val="11"/>
        <color theme="1"/>
        <rFont val="Calibri"/>
        <family val="2"/>
        <scheme val="minor"/>
      </rPr>
      <t>HP Máxim</t>
    </r>
    <r>
      <rPr>
        <sz val="11"/>
        <color theme="1"/>
        <rFont val="Calibri"/>
        <family val="2"/>
        <scheme val="minor"/>
      </rPr>
      <t xml:space="preserve">o: +10%
</t>
    </r>
    <r>
      <rPr>
        <b/>
        <sz val="11"/>
        <color theme="1"/>
        <rFont val="Calibri"/>
        <family val="2"/>
        <scheme val="minor"/>
      </rPr>
      <t>Dano de Skill</t>
    </r>
    <r>
      <rPr>
        <sz val="11"/>
        <color theme="1"/>
        <rFont val="Calibri"/>
        <family val="2"/>
        <scheme val="minor"/>
      </rPr>
      <t xml:space="preserve">: +10%
</t>
    </r>
    <r>
      <rPr>
        <b/>
        <sz val="11"/>
        <color theme="1"/>
        <rFont val="Calibri"/>
        <family val="2"/>
        <scheme val="minor"/>
      </rPr>
      <t>Resistência a Dano</t>
    </r>
    <r>
      <rPr>
        <sz val="11"/>
        <color theme="1"/>
        <rFont val="Calibri"/>
        <family val="2"/>
        <scheme val="minor"/>
      </rPr>
      <t xml:space="preserve">: 10%
</t>
    </r>
    <r>
      <rPr>
        <b/>
        <sz val="11"/>
        <color theme="1"/>
        <rFont val="Calibri"/>
        <family val="2"/>
        <scheme val="minor"/>
      </rPr>
      <t>Velocidade de Skil</t>
    </r>
    <r>
      <rPr>
        <sz val="11"/>
        <color theme="1"/>
        <rFont val="Calibri"/>
        <family val="2"/>
        <scheme val="minor"/>
      </rPr>
      <t xml:space="preserve">l: +20%
</t>
    </r>
    <r>
      <rPr>
        <b/>
        <sz val="11"/>
        <color theme="1"/>
        <rFont val="Calibri"/>
        <family val="2"/>
        <scheme val="minor"/>
      </rPr>
      <t>Chance de Ataque Crítico</t>
    </r>
    <r>
      <rPr>
        <sz val="11"/>
        <color theme="1"/>
        <rFont val="Calibri"/>
        <family val="2"/>
        <scheme val="minor"/>
      </rPr>
      <t xml:space="preserve">: +15%
</t>
    </r>
    <r>
      <rPr>
        <b/>
        <sz val="11"/>
        <color theme="1"/>
        <rFont val="Calibri"/>
        <family val="2"/>
        <scheme val="minor"/>
      </rPr>
      <t>Chance bloq. Ataque Físico</t>
    </r>
    <r>
      <rPr>
        <sz val="11"/>
        <color theme="1"/>
        <rFont val="Calibri"/>
        <family val="2"/>
        <scheme val="minor"/>
      </rPr>
      <t xml:space="preserve">: +10%
</t>
    </r>
    <r>
      <rPr>
        <b/>
        <sz val="11"/>
        <color theme="1"/>
        <rFont val="Calibri"/>
        <family val="2"/>
        <scheme val="minor"/>
      </rPr>
      <t>Bônus contra Humanoides</t>
    </r>
    <r>
      <rPr>
        <sz val="11"/>
        <color theme="1"/>
        <rFont val="Calibri"/>
        <family val="2"/>
        <scheme val="minor"/>
      </rPr>
      <t>: +20%</t>
    </r>
  </si>
  <si>
    <t>Quest Nível 80 
Bônus de +5% na Velocidade de Ataque(não é +6 como mostra no início da recompensa),
Bônus de 10% na Força de Ataque/Dano? (Eternamente)</t>
  </si>
  <si>
    <t>Bônus permanentes</t>
  </si>
  <si>
    <t>Equilibrar as reduções</t>
  </si>
  <si>
    <t>Recursos PvP | Macro</t>
  </si>
  <si>
    <t>Teclado</t>
  </si>
  <si>
    <t>Carisma</t>
  </si>
  <si>
    <t>Sim</t>
  </si>
  <si>
    <t>Bônus Conjunto</t>
  </si>
  <si>
    <t>Real/Majestoso</t>
  </si>
  <si>
    <t>Com a Safira Resplandecente existe a possibilidade de usar uma BUILD com JOLLA 10% Bônus 5% redução/50 ATK.</t>
  </si>
  <si>
    <t xml:space="preserve">Dentro do PvP High LvL a tendência é você ter os 5 SETs para as 5 Classes. </t>
  </si>
  <si>
    <t>Contudo, basta apenas 1 bem feito para poder começar a disputar o bônus junto ao seu Reino.</t>
  </si>
  <si>
    <t>Refino/Bônus</t>
  </si>
  <si>
    <t>10% Bônus Contra Humanóide
12 Pontos de Status
15% ~ 20% Bônus Classe
% Bônus Elemento</t>
  </si>
  <si>
    <r>
      <rPr>
        <b/>
        <sz val="11"/>
        <color rgb="FF00B050"/>
        <rFont val="Calibri"/>
        <family val="2"/>
        <scheme val="minor"/>
      </rPr>
      <t xml:space="preserve">Bônus verdes </t>
    </r>
    <r>
      <rPr>
        <sz val="11"/>
        <color theme="1"/>
        <rFont val="Calibri"/>
        <family val="2"/>
        <scheme val="minor"/>
      </rPr>
      <t xml:space="preserve">
5% ignorar arma da sua classe
10% Resistência contra humanóide
10 Bônus contra Humanóides
</t>
    </r>
    <r>
      <rPr>
        <b/>
        <sz val="11"/>
        <color theme="7"/>
        <rFont val="Calibri"/>
        <family val="2"/>
        <scheme val="minor"/>
      </rPr>
      <t>Bônus amerelo</t>
    </r>
    <r>
      <rPr>
        <sz val="11"/>
        <color theme="1"/>
        <rFont val="Calibri"/>
        <family val="2"/>
        <scheme val="minor"/>
      </rPr>
      <t xml:space="preserve">
10% Bônus contra Humanóides + Ataque</t>
    </r>
  </si>
  <si>
    <t>Punhalada Surpresa</t>
  </si>
  <si>
    <t>Acrobacia</t>
  </si>
  <si>
    <t>Avanço Ágil</t>
  </si>
  <si>
    <t>Veneno Traiçoeiro</t>
  </si>
  <si>
    <t>Veneno da Serpente</t>
  </si>
  <si>
    <t>Flexa de Fogo</t>
  </si>
  <si>
    <t>Chuva de Flexas</t>
  </si>
  <si>
    <t>Flexa Venenosa</t>
  </si>
  <si>
    <t>Tiro Concentrado</t>
  </si>
  <si>
    <t>Passos Leves</t>
  </si>
  <si>
    <t>Faísca</t>
  </si>
  <si>
    <t>Rugido do Dragão</t>
  </si>
  <si>
    <t>Energia Concentrada</t>
  </si>
  <si>
    <t>Escudo de Dragão</t>
  </si>
  <si>
    <t>Escudo Espelhado</t>
  </si>
  <si>
    <t>Olhos de Dragão</t>
  </si>
  <si>
    <t>Alma do Lobo Índigo</t>
  </si>
  <si>
    <t>Alma do Lobo Rubro</t>
  </si>
  <si>
    <t>Retalhar</t>
  </si>
  <si>
    <t>Mergulho do Lobo</t>
  </si>
  <si>
    <t>Garra do Lobo</t>
  </si>
  <si>
    <t>Lança Elétrica</t>
  </si>
  <si>
    <t>Corrente Elétrica</t>
  </si>
  <si>
    <t>Curar Ferimentos</t>
  </si>
  <si>
    <t>Passos de Pluma</t>
  </si>
  <si>
    <t>Encantamentos Naturais</t>
  </si>
  <si>
    <t>Evocar Elemental</t>
  </si>
  <si>
    <t>Fogo das Sombras</t>
  </si>
  <si>
    <t>Espiral da Escuridão</t>
  </si>
  <si>
    <t>Proteção Sobrenatural</t>
  </si>
  <si>
    <t>Ataque Espiritual</t>
  </si>
  <si>
    <t>Lâmina Espiritual</t>
  </si>
  <si>
    <t>Vórtice</t>
  </si>
  <si>
    <t>Fúria</t>
  </si>
  <si>
    <t>Investida Rápida</t>
  </si>
  <si>
    <t>Sequencia do Golpes</t>
  </si>
  <si>
    <t>Força Vital</t>
  </si>
  <si>
    <t>Vortice - Guarda</t>
  </si>
  <si>
    <t>Punhalada - Guarda</t>
  </si>
  <si>
    <t>Dragão Veloz - Guarda</t>
  </si>
  <si>
    <t>Técnica Cortante - Guarda</t>
  </si>
  <si>
    <t>Flecha de Fogo - Guarda</t>
  </si>
  <si>
    <t>Esfera Espiritual - Guarda</t>
  </si>
  <si>
    <t>Campo Estático - Guarda</t>
  </si>
  <si>
    <t>Sopro do Lobo - Guarda</t>
  </si>
  <si>
    <t>Livro Tomo da Guarda</t>
  </si>
  <si>
    <t>Livro Tomo do Reforço</t>
  </si>
  <si>
    <t>&gt; Baú - Livro Reforço</t>
  </si>
  <si>
    <t>&gt; Baú - Livro Guarda</t>
  </si>
  <si>
    <r>
      <rPr>
        <b/>
        <sz val="10"/>
        <color theme="1"/>
        <rFont val="Calibri"/>
        <family val="2"/>
        <scheme val="minor"/>
      </rPr>
      <t>Brilhante/Resplandecente:</t>
    </r>
    <r>
      <rPr>
        <sz val="10"/>
        <color theme="1"/>
        <rFont val="Calibri"/>
        <family val="2"/>
        <scheme val="minor"/>
      </rPr>
      <t xml:space="preserve">
1º Opção: Bloquear, esquivar e crítico
ou
2º Opção: Bloquear, crítico e perfurar
3º Opção: Bloquear e crítico (verificar se é viável)</t>
    </r>
  </si>
  <si>
    <r>
      <rPr>
        <b/>
        <sz val="10"/>
        <color theme="1"/>
        <rFont val="Calibri"/>
        <family val="2"/>
        <scheme val="minor"/>
      </rPr>
      <t>Brilhante/Resplandecente:</t>
    </r>
    <r>
      <rPr>
        <sz val="10"/>
        <color theme="1"/>
        <rFont val="Calibri"/>
        <family val="2"/>
        <scheme val="minor"/>
      </rPr>
      <t xml:space="preserve">
HP Máximo: +4.800
HP Máximo +32%</t>
    </r>
  </si>
  <si>
    <r>
      <rPr>
        <b/>
        <sz val="10"/>
        <color theme="1"/>
        <rFont val="Calibri"/>
        <family val="2"/>
        <scheme val="minor"/>
      </rPr>
      <t>Brilhante ou Resplandecente</t>
    </r>
    <r>
      <rPr>
        <sz val="10"/>
        <color theme="1"/>
        <rFont val="Calibri"/>
        <family val="2"/>
        <scheme val="minor"/>
      </rPr>
      <t xml:space="preserve"> com:
Redução 03 classe</t>
    </r>
  </si>
  <si>
    <r>
      <rPr>
        <b/>
        <sz val="10"/>
        <color theme="1"/>
        <rFont val="Calibri"/>
        <family val="2"/>
        <scheme val="minor"/>
      </rPr>
      <t>Resplandecente:</t>
    </r>
    <r>
      <rPr>
        <sz val="10"/>
        <color theme="1"/>
        <rFont val="Calibri"/>
        <family val="2"/>
        <scheme val="minor"/>
      </rPr>
      <t xml:space="preserve">
Bônus e Redução Trevas: 16%
Probabilidade de bloquear ataques físicos 16%
16% Probabilidade de refletir ataques físicos
Resistência a Golpes Perfurantes +16%
16% Probabilidade de evitar flechas
Resistência a Golpes Críticos +16%
</t>
    </r>
    <r>
      <rPr>
        <b/>
        <sz val="10"/>
        <color theme="1"/>
        <rFont val="Calibri"/>
        <family val="2"/>
        <scheme val="minor"/>
      </rPr>
      <t xml:space="preserve">
Brilhante:</t>
    </r>
    <r>
      <rPr>
        <sz val="10"/>
        <color theme="1"/>
        <rFont val="Calibri"/>
        <family val="2"/>
        <scheme val="minor"/>
      </rPr>
      <t xml:space="preserve">
Bônus e Redução Trevas: 12%
Probabilidade de bloquear ataques físicos 12%
12% Probabilidade de refletir ataques físicos
Resistência a Golpes Perfurantes +12%
12% Probabilidade de evitar flechas
Resistência a Golpes Críticos +12%</t>
    </r>
  </si>
  <si>
    <r>
      <rPr>
        <b/>
        <sz val="10"/>
        <color theme="1"/>
        <rFont val="Calibri"/>
        <family val="2"/>
        <scheme val="minor"/>
      </rPr>
      <t>Resplandecente</t>
    </r>
    <r>
      <rPr>
        <sz val="10"/>
        <color theme="1"/>
        <rFont val="Calibri"/>
        <family val="2"/>
        <scheme val="minor"/>
      </rPr>
      <t>:
Resistência a Dano: 24%
Ataque: +480
Dano: 24%</t>
    </r>
  </si>
  <si>
    <t xml:space="preserve"> Bônus</t>
  </si>
  <si>
    <t>Como upar com o máximo de 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</si>
</sst>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7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0"/>
      <name val="Calibri"/>
      <family val="2"/>
      <scheme val="minor"/>
    </font>
    <font>
      <sz val="6"/>
      <color theme="0"/>
      <name val="Calibri"/>
      <family val="2"/>
      <scheme val="minor"/>
    </font>
    <font>
      <sz val="8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4C12E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02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2" borderId="0" xfId="0" applyFill="1"/>
    <xf numFmtId="0" fontId="4" fillId="0" borderId="0" xfId="0" applyFont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9" fontId="11" fillId="0" borderId="0" xfId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0" fillId="0" borderId="9" xfId="2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9" fontId="0" fillId="0" borderId="9" xfId="1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5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3" fillId="2" borderId="9" xfId="0" applyFont="1" applyFill="1" applyBorder="1" applyAlignment="1">
      <alignment horizontal="center"/>
    </xf>
    <xf numFmtId="9" fontId="13" fillId="2" borderId="9" xfId="1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9" fontId="11" fillId="0" borderId="9" xfId="1" applyFon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0" fillId="0" borderId="9" xfId="2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/>
    </xf>
    <xf numFmtId="0" fontId="11" fillId="10" borderId="9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16" fillId="11" borderId="9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17" fillId="11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1" xfId="0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14" fillId="2" borderId="9" xfId="0" applyFont="1" applyFill="1" applyBorder="1" applyAlignment="1">
      <alignment horizontal="center" vertical="center"/>
    </xf>
    <xf numFmtId="0" fontId="18" fillId="2" borderId="1" xfId="2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0" fillId="0" borderId="9" xfId="2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5" fillId="0" borderId="6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6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0" fillId="0" borderId="9" xfId="0" applyBorder="1" applyAlignment="1">
      <alignment horizontal="center" vertical="center" wrapText="1"/>
    </xf>
  </cellXfs>
  <cellStyles count="3">
    <cellStyle name="Hiperlink" xfId="2" builtinId="8"/>
    <cellStyle name="Normal" xfId="0" builtinId="0"/>
    <cellStyle name="Porcentagem" xfId="1" builtinId="5"/>
  </cellStyles>
  <dxfs count="25">
    <dxf>
      <fill>
        <patternFill>
          <bgColor rgb="FFAFDC7E"/>
        </patternFill>
      </fill>
    </dxf>
    <dxf>
      <fill>
        <patternFill>
          <bgColor rgb="FFFF7575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</dxfs>
  <tableStyles count="1" defaultTableStyle="TableStyleMedium2" defaultPivotStyle="PivotStyleLight16">
    <tableStyle name="Estilo de Tabela 1" pivot="0" count="1" xr9:uid="{F563C1BC-69D0-4C82-837B-1DA2D467E604}">
      <tableStyleElement type="wholeTable" dxfId="24"/>
    </tableStyle>
  </tableStyles>
  <colors>
    <mruColors>
      <color rgb="FF4C12EE"/>
      <color rgb="FFAFDC7E"/>
      <color rgb="FFFF7575"/>
      <color rgb="FF44FE48"/>
      <color rgb="FFFF9F9F"/>
      <color rgb="FF392D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#Home!A1"/><Relationship Id="rId3" Type="http://schemas.openxmlformats.org/officeDocument/2006/relationships/hyperlink" Target="https://www.twitch.tv/bisposhinsutv" TargetMode="External"/><Relationship Id="rId7" Type="http://schemas.openxmlformats.org/officeDocument/2006/relationships/hyperlink" Target="https://aom2.org/pt-br/download" TargetMode="External"/><Relationship Id="rId12" Type="http://schemas.openxmlformats.org/officeDocument/2006/relationships/image" Target="../media/image8.svg"/><Relationship Id="rId2" Type="http://schemas.openxmlformats.org/officeDocument/2006/relationships/hyperlink" Target="#'Roadmap Geral'!A1"/><Relationship Id="rId1" Type="http://schemas.openxmlformats.org/officeDocument/2006/relationships/image" Target="../media/image1.jpeg"/><Relationship Id="rId6" Type="http://schemas.openxmlformats.org/officeDocument/2006/relationships/image" Target="../media/image3.png"/><Relationship Id="rId11" Type="http://schemas.openxmlformats.org/officeDocument/2006/relationships/image" Target="../media/image7.png"/><Relationship Id="rId5" Type="http://schemas.openxmlformats.org/officeDocument/2006/relationships/hyperlink" Target="https://www.youtube.com/@BispoShinsu" TargetMode="External"/><Relationship Id="rId10" Type="http://schemas.openxmlformats.org/officeDocument/2006/relationships/image" Target="../media/image6.svg"/><Relationship Id="rId4" Type="http://schemas.openxmlformats.org/officeDocument/2006/relationships/image" Target="../media/image2.png"/><Relationship Id="rId9" Type="http://schemas.openxmlformats.org/officeDocument/2006/relationships/image" Target="../media/image5.png"/><Relationship Id="rId14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hyperlink" Target="#'LvL e Skills'!A1"/><Relationship Id="rId7" Type="http://schemas.openxmlformats.org/officeDocument/2006/relationships/hyperlink" Target="https://www.twitch.tv/bisposhinsutv" TargetMode="External"/><Relationship Id="rId2" Type="http://schemas.openxmlformats.org/officeDocument/2006/relationships/hyperlink" Target="#'Pedras do Drag&#227;o'!A1"/><Relationship Id="rId1" Type="http://schemas.openxmlformats.org/officeDocument/2006/relationships/hyperlink" Target="#Miss&#245;es!A1"/><Relationship Id="rId6" Type="http://schemas.openxmlformats.org/officeDocument/2006/relationships/image" Target="../media/image11.svg"/><Relationship Id="rId5" Type="http://schemas.openxmlformats.org/officeDocument/2006/relationships/image" Target="../media/image10.png"/><Relationship Id="rId10" Type="http://schemas.openxmlformats.org/officeDocument/2006/relationships/image" Target="../media/image3.png"/><Relationship Id="rId4" Type="http://schemas.openxmlformats.org/officeDocument/2006/relationships/hyperlink" Target="#Home!A1"/><Relationship Id="rId9" Type="http://schemas.openxmlformats.org/officeDocument/2006/relationships/hyperlink" Target="https://www.youtube.com/@BispoShinsu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hyperlink" Target="#'Pedras do Drag&#227;o'!A1"/><Relationship Id="rId7" Type="http://schemas.openxmlformats.org/officeDocument/2006/relationships/image" Target="../media/image11.svg"/><Relationship Id="rId2" Type="http://schemas.openxmlformats.org/officeDocument/2006/relationships/hyperlink" Target="#Miss&#245;es!A1"/><Relationship Id="rId1" Type="http://schemas.openxmlformats.org/officeDocument/2006/relationships/hyperlink" Target="#'Roadmap Geral'!A1"/><Relationship Id="rId6" Type="http://schemas.openxmlformats.org/officeDocument/2006/relationships/image" Target="../media/image10.png"/><Relationship Id="rId5" Type="http://schemas.openxmlformats.org/officeDocument/2006/relationships/hyperlink" Target="#Home!A1"/><Relationship Id="rId4" Type="http://schemas.openxmlformats.org/officeDocument/2006/relationships/hyperlink" Target="#'Equipamentos e Build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LvL e Skills'!A1"/><Relationship Id="rId7" Type="http://schemas.openxmlformats.org/officeDocument/2006/relationships/image" Target="../media/image11.svg"/><Relationship Id="rId2" Type="http://schemas.openxmlformats.org/officeDocument/2006/relationships/hyperlink" Target="#'Pedras do Drag&#227;o'!A1"/><Relationship Id="rId1" Type="http://schemas.openxmlformats.org/officeDocument/2006/relationships/hyperlink" Target="#'Roadmap Geral'!A1"/><Relationship Id="rId6" Type="http://schemas.openxmlformats.org/officeDocument/2006/relationships/image" Target="../media/image10.png"/><Relationship Id="rId5" Type="http://schemas.openxmlformats.org/officeDocument/2006/relationships/hyperlink" Target="#Home!A1"/><Relationship Id="rId4" Type="http://schemas.openxmlformats.org/officeDocument/2006/relationships/hyperlink" Target="#'Equipamentos e Build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LvL e Skills'!A1"/><Relationship Id="rId7" Type="http://schemas.openxmlformats.org/officeDocument/2006/relationships/hyperlink" Target="#'Roadmap Geral'!A1"/><Relationship Id="rId2" Type="http://schemas.openxmlformats.org/officeDocument/2006/relationships/hyperlink" Target="#'Pedras do Drag&#227;o'!A1"/><Relationship Id="rId1" Type="http://schemas.openxmlformats.org/officeDocument/2006/relationships/hyperlink" Target="#Miss&#245;es!A1"/><Relationship Id="rId6" Type="http://schemas.openxmlformats.org/officeDocument/2006/relationships/image" Target="../media/image11.svg"/><Relationship Id="rId5" Type="http://schemas.openxmlformats.org/officeDocument/2006/relationships/image" Target="../media/image10.png"/><Relationship Id="rId4" Type="http://schemas.openxmlformats.org/officeDocument/2006/relationships/hyperlink" Target="#Hom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svg"/><Relationship Id="rId7" Type="http://schemas.openxmlformats.org/officeDocument/2006/relationships/hyperlink" Target="#'LvL e Skills'!A1"/><Relationship Id="rId2" Type="http://schemas.openxmlformats.org/officeDocument/2006/relationships/image" Target="../media/image10.png"/><Relationship Id="rId1" Type="http://schemas.openxmlformats.org/officeDocument/2006/relationships/hyperlink" Target="#Home!A1"/><Relationship Id="rId6" Type="http://schemas.openxmlformats.org/officeDocument/2006/relationships/hyperlink" Target="#'Equipamentos e Build'!A1"/><Relationship Id="rId5" Type="http://schemas.openxmlformats.org/officeDocument/2006/relationships/hyperlink" Target="#Miss&#245;es!A1"/><Relationship Id="rId4" Type="http://schemas.openxmlformats.org/officeDocument/2006/relationships/hyperlink" Target="#'Roadmap Geral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14</xdr:col>
      <xdr:colOff>565547</xdr:colOff>
      <xdr:row>19</xdr:row>
      <xdr:rowOff>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88665F2-1BDA-48A5-BA12-5354A8D60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80747" cy="3619500"/>
        </a:xfrm>
        <a:prstGeom prst="rect">
          <a:avLst/>
        </a:prstGeom>
      </xdr:spPr>
    </xdr:pic>
    <xdr:clientData/>
  </xdr:twoCellAnchor>
  <xdr:oneCellAnchor>
    <xdr:from>
      <xdr:col>2</xdr:col>
      <xdr:colOff>165285</xdr:colOff>
      <xdr:row>0</xdr:row>
      <xdr:rowOff>157277</xdr:rowOff>
    </xdr:from>
    <xdr:ext cx="2993385" cy="453970"/>
    <xdr:sp macro="" textlink="">
      <xdr:nvSpPr>
        <xdr:cNvPr id="2" name="Retângul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12B54C-E1B4-CE5F-5042-E11A26A5437E}"/>
            </a:ext>
          </a:extLst>
        </xdr:cNvPr>
        <xdr:cNvSpPr/>
      </xdr:nvSpPr>
      <xdr:spPr>
        <a:xfrm>
          <a:off x="165285" y="157277"/>
          <a:ext cx="2993385" cy="453970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2000" b="1" cap="none" spc="50">
              <a:ln w="0"/>
              <a:solidFill>
                <a:srgbClr val="FFC000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rial MT Black" panose="00000102000000010000" pitchFamily="2" charset="0"/>
            </a:rPr>
            <a:t>Planejamento | PvP</a:t>
          </a:r>
        </a:p>
      </xdr:txBody>
    </xdr:sp>
    <xdr:clientData/>
  </xdr:oneCellAnchor>
  <xdr:oneCellAnchor>
    <xdr:from>
      <xdr:col>2</xdr:col>
      <xdr:colOff>183470</xdr:colOff>
      <xdr:row>2</xdr:row>
      <xdr:rowOff>172755</xdr:rowOff>
    </xdr:from>
    <xdr:ext cx="1709623" cy="218906"/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AB99EE-08DC-4B2D-B378-425F29F6302E}"/>
            </a:ext>
          </a:extLst>
        </xdr:cNvPr>
        <xdr:cNvSpPr/>
      </xdr:nvSpPr>
      <xdr:spPr>
        <a:xfrm>
          <a:off x="183470" y="553755"/>
          <a:ext cx="1709623" cy="218906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l"/>
          <a:r>
            <a:rPr lang="pt-BR" sz="700" b="1" cap="none" spc="50">
              <a:ln w="0"/>
              <a:solidFill>
                <a:schemeClr val="bg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rial MT Black" panose="00000102000000010000" pitchFamily="2" charset="0"/>
            </a:rPr>
            <a:t>By BispoShinsu | Bispão</a:t>
          </a:r>
        </a:p>
      </xdr:txBody>
    </xdr:sp>
    <xdr:clientData/>
  </xdr:oneCellAnchor>
  <xdr:twoCellAnchor editAs="oneCell">
    <xdr:from>
      <xdr:col>7</xdr:col>
      <xdr:colOff>470297</xdr:colOff>
      <xdr:row>1</xdr:row>
      <xdr:rowOff>121434</xdr:rowOff>
    </xdr:from>
    <xdr:to>
      <xdr:col>8</xdr:col>
      <xdr:colOff>89297</xdr:colOff>
      <xdr:row>2</xdr:row>
      <xdr:rowOff>124208</xdr:rowOff>
    </xdr:to>
    <xdr:pic>
      <xdr:nvPicPr>
        <xdr:cNvPr id="11" name="Imagem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16AA31-0AF3-8DE8-8F9A-77A658FBA5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15" r="23179"/>
        <a:stretch>
          <a:fillRect/>
        </a:stretch>
      </xdr:blipFill>
      <xdr:spPr>
        <a:xfrm>
          <a:off x="3506391" y="311934"/>
          <a:ext cx="226219" cy="193274"/>
        </a:xfrm>
        <a:prstGeom prst="rect">
          <a:avLst/>
        </a:prstGeom>
      </xdr:spPr>
    </xdr:pic>
    <xdr:clientData/>
  </xdr:twoCellAnchor>
  <xdr:twoCellAnchor editAs="oneCell">
    <xdr:from>
      <xdr:col>7</xdr:col>
      <xdr:colOff>173814</xdr:colOff>
      <xdr:row>1</xdr:row>
      <xdr:rowOff>119062</xdr:rowOff>
    </xdr:from>
    <xdr:to>
      <xdr:col>7</xdr:col>
      <xdr:colOff>398234</xdr:colOff>
      <xdr:row>2</xdr:row>
      <xdr:rowOff>107158</xdr:rowOff>
    </xdr:to>
    <xdr:pic>
      <xdr:nvPicPr>
        <xdr:cNvPr id="13" name="Imagem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196CE3-0E4E-0A77-FB7E-B11CD5D09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08" y="309562"/>
          <a:ext cx="224420" cy="178596"/>
        </a:xfrm>
        <a:prstGeom prst="rect">
          <a:avLst/>
        </a:prstGeom>
      </xdr:spPr>
    </xdr:pic>
    <xdr:clientData/>
  </xdr:twoCellAnchor>
  <xdr:twoCellAnchor editAs="oneCell">
    <xdr:from>
      <xdr:col>13</xdr:col>
      <xdr:colOff>386952</xdr:colOff>
      <xdr:row>15</xdr:row>
      <xdr:rowOff>71437</xdr:rowOff>
    </xdr:from>
    <xdr:to>
      <xdr:col>14</xdr:col>
      <xdr:colOff>303609</xdr:colOff>
      <xdr:row>18</xdr:row>
      <xdr:rowOff>59531</xdr:rowOff>
    </xdr:to>
    <xdr:pic>
      <xdr:nvPicPr>
        <xdr:cNvPr id="15" name="Imagem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F6340DC-279D-A9F3-88FA-A47EAC60E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6358" y="2928937"/>
          <a:ext cx="523876" cy="559594"/>
        </a:xfrm>
        <a:prstGeom prst="rect">
          <a:avLst/>
        </a:prstGeom>
      </xdr:spPr>
    </xdr:pic>
    <xdr:clientData/>
  </xdr:twoCellAnchor>
  <xdr:twoCellAnchor editAs="oneCell">
    <xdr:from>
      <xdr:col>2</xdr:col>
      <xdr:colOff>273845</xdr:colOff>
      <xdr:row>4</xdr:row>
      <xdr:rowOff>11907</xdr:rowOff>
    </xdr:from>
    <xdr:to>
      <xdr:col>2</xdr:col>
      <xdr:colOff>495912</xdr:colOff>
      <xdr:row>5</xdr:row>
      <xdr:rowOff>71439</xdr:rowOff>
    </xdr:to>
    <xdr:pic>
      <xdr:nvPicPr>
        <xdr:cNvPr id="21" name="Gráfico 20" descr="Iníci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EB4872-FBB6-7D49-1309-673A841AF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73845" y="773907"/>
          <a:ext cx="222067" cy="250032"/>
        </a:xfrm>
        <a:prstGeom prst="rect">
          <a:avLst/>
        </a:prstGeom>
      </xdr:spPr>
    </xdr:pic>
    <xdr:clientData/>
  </xdr:twoCellAnchor>
  <xdr:twoCellAnchor editAs="oneCell">
    <xdr:from>
      <xdr:col>2</xdr:col>
      <xdr:colOff>404813</xdr:colOff>
      <xdr:row>4</xdr:row>
      <xdr:rowOff>178595</xdr:rowOff>
    </xdr:from>
    <xdr:to>
      <xdr:col>2</xdr:col>
      <xdr:colOff>589359</xdr:colOff>
      <xdr:row>5</xdr:row>
      <xdr:rowOff>172641</xdr:rowOff>
    </xdr:to>
    <xdr:pic>
      <xdr:nvPicPr>
        <xdr:cNvPr id="23" name="Gráfico 22" descr="Curso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398C12-4CEC-99B7-C688-7358F5E29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04813" y="940595"/>
          <a:ext cx="184546" cy="184546"/>
        </a:xfrm>
        <a:prstGeom prst="rect">
          <a:avLst/>
        </a:prstGeom>
      </xdr:spPr>
    </xdr:pic>
    <xdr:clientData/>
  </xdr:twoCellAnchor>
  <xdr:twoCellAnchor editAs="oneCell">
    <xdr:from>
      <xdr:col>5</xdr:col>
      <xdr:colOff>130971</xdr:colOff>
      <xdr:row>8</xdr:row>
      <xdr:rowOff>41672</xdr:rowOff>
    </xdr:from>
    <xdr:to>
      <xdr:col>6</xdr:col>
      <xdr:colOff>36972</xdr:colOff>
      <xdr:row>10</xdr:row>
      <xdr:rowOff>160733</xdr:rowOff>
    </xdr:to>
    <xdr:pic>
      <xdr:nvPicPr>
        <xdr:cNvPr id="26" name="Imagem 2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3FCF635-C98F-6378-59C2-8DD0607A7F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77" t="-704" r="-1858" b="20423"/>
        <a:stretch>
          <a:fillRect/>
        </a:stretch>
      </xdr:blipFill>
      <xdr:spPr>
        <a:xfrm>
          <a:off x="1952627" y="1565672"/>
          <a:ext cx="513220" cy="500061"/>
        </a:xfrm>
        <a:prstGeom prst="ellipse">
          <a:avLst/>
        </a:prstGeom>
        <a:ln w="63500" cap="rnd">
          <a:noFill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178941</xdr:colOff>
      <xdr:row>4</xdr:row>
      <xdr:rowOff>131</xdr:rowOff>
    </xdr:from>
    <xdr:to>
      <xdr:col>2</xdr:col>
      <xdr:colOff>1148006</xdr:colOff>
      <xdr:row>5</xdr:row>
      <xdr:rowOff>64595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145290-E8D1-4BF3-9A2B-4A820D37194D}"/>
            </a:ext>
          </a:extLst>
        </xdr:cNvPr>
        <xdr:cNvSpPr/>
      </xdr:nvSpPr>
      <xdr:spPr>
        <a:xfrm>
          <a:off x="1065180" y="768617"/>
          <a:ext cx="969065" cy="25676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Missões</a:t>
          </a:r>
        </a:p>
      </xdr:txBody>
    </xdr:sp>
    <xdr:clientData/>
  </xdr:twoCellAnchor>
  <xdr:twoCellAnchor editAs="absolute">
    <xdr:from>
      <xdr:col>3</xdr:col>
      <xdr:colOff>961303</xdr:colOff>
      <xdr:row>4</xdr:row>
      <xdr:rowOff>131</xdr:rowOff>
    </xdr:from>
    <xdr:to>
      <xdr:col>4</xdr:col>
      <xdr:colOff>278504</xdr:colOff>
      <xdr:row>5</xdr:row>
      <xdr:rowOff>64595</xdr:rowOff>
    </xdr:to>
    <xdr:sp macro="" textlink="">
      <xdr:nvSpPr>
        <xdr:cNvPr id="6" name="Retâ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217D85-1022-4CC9-89FE-51F647371DEF}"/>
            </a:ext>
          </a:extLst>
        </xdr:cNvPr>
        <xdr:cNvSpPr/>
      </xdr:nvSpPr>
      <xdr:spPr>
        <a:xfrm>
          <a:off x="3570325" y="768617"/>
          <a:ext cx="1205636" cy="25676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Pedras</a:t>
          </a:r>
          <a:r>
            <a:rPr lang="pt-BR" sz="1100" b="0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do Dragão</a:t>
          </a:r>
          <a:endParaRPr lang="pt-BR" sz="1100" b="0" cap="none" spc="0">
            <a:ln w="0"/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 editAs="absolute">
    <xdr:from>
      <xdr:col>1</xdr:col>
      <xdr:colOff>16567</xdr:colOff>
      <xdr:row>4</xdr:row>
      <xdr:rowOff>131</xdr:rowOff>
    </xdr:from>
    <xdr:to>
      <xdr:col>2</xdr:col>
      <xdr:colOff>140806</xdr:colOff>
      <xdr:row>5</xdr:row>
      <xdr:rowOff>64595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AC37DF1-59A3-4C71-BF04-BBBBD16C95CE}"/>
            </a:ext>
          </a:extLst>
        </xdr:cNvPr>
        <xdr:cNvSpPr/>
      </xdr:nvSpPr>
      <xdr:spPr>
        <a:xfrm>
          <a:off x="289893" y="768617"/>
          <a:ext cx="737152" cy="25676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LvL e Skill</a:t>
          </a:r>
        </a:p>
      </xdr:txBody>
    </xdr:sp>
    <xdr:clientData/>
  </xdr:twoCellAnchor>
  <xdr:twoCellAnchor editAs="absolute">
    <xdr:from>
      <xdr:col>2</xdr:col>
      <xdr:colOff>1186141</xdr:colOff>
      <xdr:row>4</xdr:row>
      <xdr:rowOff>131</xdr:rowOff>
    </xdr:from>
    <xdr:to>
      <xdr:col>3</xdr:col>
      <xdr:colOff>923169</xdr:colOff>
      <xdr:row>5</xdr:row>
      <xdr:rowOff>64595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3BAB5C95-8490-415F-B1D9-4719ECE17B47}"/>
            </a:ext>
          </a:extLst>
        </xdr:cNvPr>
        <xdr:cNvSpPr/>
      </xdr:nvSpPr>
      <xdr:spPr>
        <a:xfrm>
          <a:off x="2072380" y="768617"/>
          <a:ext cx="1459811" cy="25676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Equipamentos e</a:t>
          </a:r>
          <a:r>
            <a:rPr lang="pt-BR" sz="1100" b="0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Build</a:t>
          </a:r>
          <a:endParaRPr lang="pt-BR" sz="1100" b="0" cap="none" spc="0">
            <a:ln w="0"/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 editAs="oneCell">
    <xdr:from>
      <xdr:col>0</xdr:col>
      <xdr:colOff>248478</xdr:colOff>
      <xdr:row>2</xdr:row>
      <xdr:rowOff>8283</xdr:rowOff>
    </xdr:from>
    <xdr:to>
      <xdr:col>1</xdr:col>
      <xdr:colOff>289891</xdr:colOff>
      <xdr:row>3</xdr:row>
      <xdr:rowOff>132522</xdr:rowOff>
    </xdr:to>
    <xdr:pic>
      <xdr:nvPicPr>
        <xdr:cNvPr id="8" name="Gráfico 7" descr="Iníci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F3CDC00-AA57-F111-10FB-BE97B237D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48478" y="8283"/>
          <a:ext cx="314739" cy="314739"/>
        </a:xfrm>
        <a:prstGeom prst="rect">
          <a:avLst/>
        </a:prstGeom>
      </xdr:spPr>
    </xdr:pic>
    <xdr:clientData/>
  </xdr:twoCellAnchor>
  <xdr:twoCellAnchor editAs="oneCell">
    <xdr:from>
      <xdr:col>7</xdr:col>
      <xdr:colOff>3286505</xdr:colOff>
      <xdr:row>2</xdr:row>
      <xdr:rowOff>68633</xdr:rowOff>
    </xdr:from>
    <xdr:to>
      <xdr:col>7</xdr:col>
      <xdr:colOff>3512724</xdr:colOff>
      <xdr:row>3</xdr:row>
      <xdr:rowOff>71407</xdr:rowOff>
    </xdr:to>
    <xdr:pic>
      <xdr:nvPicPr>
        <xdr:cNvPr id="11" name="Imagem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78BE556-0593-4881-873F-B80F209DD1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15" r="23179"/>
        <a:stretch>
          <a:fillRect/>
        </a:stretch>
      </xdr:blipFill>
      <xdr:spPr>
        <a:xfrm>
          <a:off x="11055592" y="457916"/>
          <a:ext cx="226219" cy="193274"/>
        </a:xfrm>
        <a:prstGeom prst="rect">
          <a:avLst/>
        </a:prstGeom>
      </xdr:spPr>
    </xdr:pic>
    <xdr:clientData/>
  </xdr:twoCellAnchor>
  <xdr:twoCellAnchor editAs="oneCell">
    <xdr:from>
      <xdr:col>7</xdr:col>
      <xdr:colOff>2990022</xdr:colOff>
      <xdr:row>2</xdr:row>
      <xdr:rowOff>66261</xdr:rowOff>
    </xdr:from>
    <xdr:to>
      <xdr:col>7</xdr:col>
      <xdr:colOff>3214442</xdr:colOff>
      <xdr:row>3</xdr:row>
      <xdr:rowOff>54357</xdr:rowOff>
    </xdr:to>
    <xdr:pic>
      <xdr:nvPicPr>
        <xdr:cNvPr id="12" name="Imagem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A6A81D7-1D0A-43A4-A150-A6D57736F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9109" y="455544"/>
          <a:ext cx="224420" cy="1785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203638</xdr:colOff>
      <xdr:row>2</xdr:row>
      <xdr:rowOff>65689</xdr:rowOff>
    </xdr:from>
    <xdr:to>
      <xdr:col>2</xdr:col>
      <xdr:colOff>75181</xdr:colOff>
      <xdr:row>4</xdr:row>
      <xdr:rowOff>72829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AB63C0-6E6E-4FEE-82AF-30FE19C99856}"/>
            </a:ext>
          </a:extLst>
        </xdr:cNvPr>
        <xdr:cNvSpPr/>
      </xdr:nvSpPr>
      <xdr:spPr>
        <a:xfrm>
          <a:off x="203638" y="394137"/>
          <a:ext cx="969065" cy="25676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Roadmad</a:t>
          </a:r>
        </a:p>
      </xdr:txBody>
    </xdr:sp>
    <xdr:clientData/>
  </xdr:twoCellAnchor>
  <xdr:twoCellAnchor editAs="absolute">
    <xdr:from>
      <xdr:col>2</xdr:col>
      <xdr:colOff>99700</xdr:colOff>
      <xdr:row>2</xdr:row>
      <xdr:rowOff>65689</xdr:rowOff>
    </xdr:from>
    <xdr:to>
      <xdr:col>2</xdr:col>
      <xdr:colOff>1071039</xdr:colOff>
      <xdr:row>4</xdr:row>
      <xdr:rowOff>72829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391627-2DEE-4B3E-BD83-15DA361EAF81}"/>
            </a:ext>
          </a:extLst>
        </xdr:cNvPr>
        <xdr:cNvSpPr/>
      </xdr:nvSpPr>
      <xdr:spPr>
        <a:xfrm>
          <a:off x="1197222" y="394137"/>
          <a:ext cx="969065" cy="25676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Missões</a:t>
          </a:r>
        </a:p>
      </xdr:txBody>
    </xdr:sp>
    <xdr:clientData/>
  </xdr:twoCellAnchor>
  <xdr:twoCellAnchor editAs="absolute">
    <xdr:from>
      <xdr:col>5</xdr:col>
      <xdr:colOff>889390</xdr:colOff>
      <xdr:row>2</xdr:row>
      <xdr:rowOff>65689</xdr:rowOff>
    </xdr:from>
    <xdr:to>
      <xdr:col>6</xdr:col>
      <xdr:colOff>183457</xdr:colOff>
      <xdr:row>4</xdr:row>
      <xdr:rowOff>72829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FCD59A8-EF08-48D7-A00F-3415FE74C115}"/>
            </a:ext>
          </a:extLst>
        </xdr:cNvPr>
        <xdr:cNvSpPr/>
      </xdr:nvSpPr>
      <xdr:spPr>
        <a:xfrm>
          <a:off x="3675137" y="394137"/>
          <a:ext cx="1205636" cy="25676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Pedras</a:t>
          </a:r>
          <a:r>
            <a:rPr lang="pt-BR" sz="1100" b="0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do Dragão</a:t>
          </a:r>
          <a:endParaRPr lang="pt-BR" sz="1100" b="0" cap="none" spc="0">
            <a:ln w="0"/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 editAs="absolute">
    <xdr:from>
      <xdr:col>2</xdr:col>
      <xdr:colOff>1095558</xdr:colOff>
      <xdr:row>2</xdr:row>
      <xdr:rowOff>65689</xdr:rowOff>
    </xdr:from>
    <xdr:to>
      <xdr:col>5</xdr:col>
      <xdr:colOff>864870</xdr:colOff>
      <xdr:row>4</xdr:row>
      <xdr:rowOff>72829</xdr:rowOff>
    </xdr:to>
    <xdr:sp macro="" textlink="">
      <xdr:nvSpPr>
        <xdr:cNvPr id="12" name="Retângul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7CF7D64-BFC5-4027-9C87-015146EC9D6B}"/>
            </a:ext>
          </a:extLst>
        </xdr:cNvPr>
        <xdr:cNvSpPr/>
      </xdr:nvSpPr>
      <xdr:spPr>
        <a:xfrm>
          <a:off x="2190806" y="394137"/>
          <a:ext cx="1459811" cy="25676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Equipamentos e</a:t>
          </a:r>
          <a:r>
            <a:rPr lang="pt-BR" sz="1100" b="0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Build</a:t>
          </a:r>
          <a:endParaRPr lang="pt-BR" sz="1100" b="0" cap="none" spc="0">
            <a:ln w="0"/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314739</xdr:colOff>
      <xdr:row>1</xdr:row>
      <xdr:rowOff>150515</xdr:rowOff>
    </xdr:to>
    <xdr:pic>
      <xdr:nvPicPr>
        <xdr:cNvPr id="17" name="Gráfico 16" descr="Iníci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95BB2E0-6F2F-45E8-948F-53646E46B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10207" y="0"/>
          <a:ext cx="314739" cy="314739"/>
        </a:xfrm>
        <a:prstGeom prst="rect">
          <a:avLst/>
        </a:prstGeom>
      </xdr:spPr>
    </xdr:pic>
    <xdr:clientData/>
  </xdr:twoCellAnchor>
  <xdr:twoCellAnchor editAs="absolute">
    <xdr:from>
      <xdr:col>1</xdr:col>
      <xdr:colOff>699225</xdr:colOff>
      <xdr:row>18</xdr:row>
      <xdr:rowOff>1</xdr:rowOff>
    </xdr:from>
    <xdr:to>
      <xdr:col>3</xdr:col>
      <xdr:colOff>28656</xdr:colOff>
      <xdr:row>22</xdr:row>
      <xdr:rowOff>1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264F3CF3-C5CA-6893-EAFC-0933834F7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706" y="2828193"/>
          <a:ext cx="1380969" cy="644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11205</xdr:colOff>
      <xdr:row>2</xdr:row>
      <xdr:rowOff>122561</xdr:rowOff>
    </xdr:from>
    <xdr:to>
      <xdr:col>2</xdr:col>
      <xdr:colOff>375153</xdr:colOff>
      <xdr:row>3</xdr:row>
      <xdr:rowOff>188822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D65CBB-CE5B-42E6-8CA4-61A54D77E394}"/>
            </a:ext>
          </a:extLst>
        </xdr:cNvPr>
        <xdr:cNvSpPr/>
      </xdr:nvSpPr>
      <xdr:spPr>
        <a:xfrm>
          <a:off x="237424" y="503561"/>
          <a:ext cx="971167" cy="25676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Roadmap</a:t>
          </a:r>
        </a:p>
      </xdr:txBody>
    </xdr:sp>
    <xdr:clientData/>
  </xdr:twoCellAnchor>
  <xdr:twoCellAnchor editAs="absolute">
    <xdr:from>
      <xdr:col>2</xdr:col>
      <xdr:colOff>2730369</xdr:colOff>
      <xdr:row>2</xdr:row>
      <xdr:rowOff>122561</xdr:rowOff>
    </xdr:from>
    <xdr:to>
      <xdr:col>2</xdr:col>
      <xdr:colOff>3936005</xdr:colOff>
      <xdr:row>3</xdr:row>
      <xdr:rowOff>188822</xdr:rowOff>
    </xdr:to>
    <xdr:sp macro="" textlink="">
      <xdr:nvSpPr>
        <xdr:cNvPr id="5" name="Retâ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99EE26C-A8E8-4118-815C-C7727EF34DC5}"/>
            </a:ext>
          </a:extLst>
        </xdr:cNvPr>
        <xdr:cNvSpPr/>
      </xdr:nvSpPr>
      <xdr:spPr>
        <a:xfrm>
          <a:off x="3563807" y="503561"/>
          <a:ext cx="1205636" cy="25676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Pedras</a:t>
          </a:r>
          <a:r>
            <a:rPr lang="pt-BR" sz="1100" b="0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do Dragão</a:t>
          </a:r>
          <a:endParaRPr lang="pt-BR" sz="1100" b="0" cap="none" spc="0">
            <a:ln w="0"/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 editAs="absolute">
    <xdr:from>
      <xdr:col>2</xdr:col>
      <xdr:colOff>427904</xdr:colOff>
      <xdr:row>2</xdr:row>
      <xdr:rowOff>122561</xdr:rowOff>
    </xdr:from>
    <xdr:to>
      <xdr:col>2</xdr:col>
      <xdr:colOff>1165056</xdr:colOff>
      <xdr:row>3</xdr:row>
      <xdr:rowOff>188822</xdr:rowOff>
    </xdr:to>
    <xdr:sp macro="" textlink="">
      <xdr:nvSpPr>
        <xdr:cNvPr id="6" name="Retâ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ADA1ACE-837E-416E-BFB1-6BA72401D457}"/>
            </a:ext>
          </a:extLst>
        </xdr:cNvPr>
        <xdr:cNvSpPr/>
      </xdr:nvSpPr>
      <xdr:spPr>
        <a:xfrm>
          <a:off x="1261342" y="503561"/>
          <a:ext cx="737152" cy="25676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LvL e Skill</a:t>
          </a:r>
        </a:p>
      </xdr:txBody>
    </xdr:sp>
    <xdr:clientData/>
  </xdr:twoCellAnchor>
  <xdr:twoCellAnchor editAs="absolute">
    <xdr:from>
      <xdr:col>2</xdr:col>
      <xdr:colOff>1217807</xdr:colOff>
      <xdr:row>2</xdr:row>
      <xdr:rowOff>122561</xdr:rowOff>
    </xdr:from>
    <xdr:to>
      <xdr:col>2</xdr:col>
      <xdr:colOff>2677618</xdr:colOff>
      <xdr:row>3</xdr:row>
      <xdr:rowOff>188822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B968A5F-3C3A-4EED-ABDE-F1FA3F75DCAF}"/>
            </a:ext>
          </a:extLst>
        </xdr:cNvPr>
        <xdr:cNvSpPr/>
      </xdr:nvSpPr>
      <xdr:spPr>
        <a:xfrm>
          <a:off x="2051245" y="503561"/>
          <a:ext cx="1459811" cy="25676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Equipamentos e</a:t>
          </a:r>
          <a:r>
            <a:rPr lang="pt-BR" sz="1100" b="0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Build</a:t>
          </a:r>
          <a:endParaRPr lang="pt-BR" sz="1100" b="0" cap="none" spc="0">
            <a:ln w="0"/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 editAs="oneCell">
    <xdr:from>
      <xdr:col>0</xdr:col>
      <xdr:colOff>184547</xdr:colOff>
      <xdr:row>0</xdr:row>
      <xdr:rowOff>59530</xdr:rowOff>
    </xdr:from>
    <xdr:to>
      <xdr:col>1</xdr:col>
      <xdr:colOff>273067</xdr:colOff>
      <xdr:row>1</xdr:row>
      <xdr:rowOff>183769</xdr:rowOff>
    </xdr:to>
    <xdr:pic>
      <xdr:nvPicPr>
        <xdr:cNvPr id="8" name="Gráfico 7" descr="Iníci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57A0105-F129-4010-9D6B-2F59147DA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84547" y="59530"/>
          <a:ext cx="314739" cy="31473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1769389</xdr:colOff>
      <xdr:row>6</xdr:row>
      <xdr:rowOff>20501</xdr:rowOff>
    </xdr:from>
    <xdr:to>
      <xdr:col>2</xdr:col>
      <xdr:colOff>918750</xdr:colOff>
      <xdr:row>7</xdr:row>
      <xdr:rowOff>86762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B459F2-EECD-4D2A-9D28-6BF46C1A046B}"/>
            </a:ext>
          </a:extLst>
        </xdr:cNvPr>
        <xdr:cNvSpPr/>
      </xdr:nvSpPr>
      <xdr:spPr>
        <a:xfrm>
          <a:off x="2038330" y="1365207"/>
          <a:ext cx="964714" cy="25676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Missões</a:t>
          </a:r>
        </a:p>
      </xdr:txBody>
    </xdr:sp>
    <xdr:clientData/>
  </xdr:twoCellAnchor>
  <xdr:twoCellAnchor editAs="absolute">
    <xdr:from>
      <xdr:col>2</xdr:col>
      <xdr:colOff>943135</xdr:colOff>
      <xdr:row>6</xdr:row>
      <xdr:rowOff>20501</xdr:rowOff>
    </xdr:from>
    <xdr:to>
      <xdr:col>3</xdr:col>
      <xdr:colOff>1114628</xdr:colOff>
      <xdr:row>7</xdr:row>
      <xdr:rowOff>86762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938B51-9E4B-423B-B471-1E58E1230F1F}"/>
            </a:ext>
          </a:extLst>
        </xdr:cNvPr>
        <xdr:cNvSpPr/>
      </xdr:nvSpPr>
      <xdr:spPr>
        <a:xfrm>
          <a:off x="3027429" y="1365207"/>
          <a:ext cx="1213640" cy="25676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Pedras</a:t>
          </a:r>
          <a:r>
            <a:rPr lang="pt-BR" sz="1100" b="0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do Dragão</a:t>
          </a:r>
          <a:endParaRPr lang="pt-BR" sz="1100" b="0" cap="none" spc="0">
            <a:ln w="0"/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 editAs="absolute">
    <xdr:from>
      <xdr:col>1</xdr:col>
      <xdr:colOff>1001448</xdr:colOff>
      <xdr:row>6</xdr:row>
      <xdr:rowOff>20501</xdr:rowOff>
    </xdr:from>
    <xdr:to>
      <xdr:col>1</xdr:col>
      <xdr:colOff>1745003</xdr:colOff>
      <xdr:row>7</xdr:row>
      <xdr:rowOff>86762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EA9E520-5A8A-4B04-8042-80895ADE2DDF}"/>
            </a:ext>
          </a:extLst>
        </xdr:cNvPr>
        <xdr:cNvSpPr/>
      </xdr:nvSpPr>
      <xdr:spPr>
        <a:xfrm>
          <a:off x="1270389" y="1365207"/>
          <a:ext cx="743555" cy="25676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LvL e Skill</a:t>
          </a:r>
        </a:p>
      </xdr:txBody>
    </xdr:sp>
    <xdr:clientData/>
  </xdr:twoCellAnchor>
  <xdr:twoCellAnchor editAs="oneCell">
    <xdr:from>
      <xdr:col>0</xdr:col>
      <xdr:colOff>215348</xdr:colOff>
      <xdr:row>4</xdr:row>
      <xdr:rowOff>15106</xdr:rowOff>
    </xdr:from>
    <xdr:to>
      <xdr:col>1</xdr:col>
      <xdr:colOff>265044</xdr:colOff>
      <xdr:row>5</xdr:row>
      <xdr:rowOff>139345</xdr:rowOff>
    </xdr:to>
    <xdr:pic>
      <xdr:nvPicPr>
        <xdr:cNvPr id="11" name="Gráfico 10" descr="Iníci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C2E3885-25C4-4A8D-AEEA-2EDE34772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15348" y="777106"/>
          <a:ext cx="318637" cy="314739"/>
        </a:xfrm>
        <a:prstGeom prst="rect">
          <a:avLst/>
        </a:prstGeom>
      </xdr:spPr>
    </xdr:pic>
    <xdr:clientData/>
  </xdr:twoCellAnchor>
  <xdr:twoCellAnchor editAs="absolute">
    <xdr:from>
      <xdr:col>0</xdr:col>
      <xdr:colOff>265043</xdr:colOff>
      <xdr:row>6</xdr:row>
      <xdr:rowOff>20501</xdr:rowOff>
    </xdr:from>
    <xdr:to>
      <xdr:col>1</xdr:col>
      <xdr:colOff>977062</xdr:colOff>
      <xdr:row>7</xdr:row>
      <xdr:rowOff>86762</xdr:rowOff>
    </xdr:to>
    <xdr:sp macro="" textlink="">
      <xdr:nvSpPr>
        <xdr:cNvPr id="12" name="Retângulo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70B593E-12EC-4A27-BDF9-02A46A14F1A8}"/>
            </a:ext>
          </a:extLst>
        </xdr:cNvPr>
        <xdr:cNvSpPr/>
      </xdr:nvSpPr>
      <xdr:spPr>
        <a:xfrm>
          <a:off x="265043" y="1365207"/>
          <a:ext cx="980960" cy="25676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Roadmad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222031</xdr:colOff>
      <xdr:row>0</xdr:row>
      <xdr:rowOff>126452</xdr:rowOff>
    </xdr:from>
    <xdr:to>
      <xdr:col>1</xdr:col>
      <xdr:colOff>300287</xdr:colOff>
      <xdr:row>2</xdr:row>
      <xdr:rowOff>60191</xdr:rowOff>
    </xdr:to>
    <xdr:pic>
      <xdr:nvPicPr>
        <xdr:cNvPr id="10" name="Gráfico 9" descr="Iníc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2EF671-F5A6-427C-A082-2649D1874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22031" y="126452"/>
          <a:ext cx="314739" cy="314739"/>
        </a:xfrm>
        <a:prstGeom prst="rect">
          <a:avLst/>
        </a:prstGeom>
      </xdr:spPr>
    </xdr:pic>
    <xdr:clientData/>
  </xdr:twoCellAnchor>
  <xdr:twoCellAnchor editAs="absolute">
    <xdr:from>
      <xdr:col>1</xdr:col>
      <xdr:colOff>1158</xdr:colOff>
      <xdr:row>2</xdr:row>
      <xdr:rowOff>157655</xdr:rowOff>
    </xdr:from>
    <xdr:to>
      <xdr:col>2</xdr:col>
      <xdr:colOff>285892</xdr:colOff>
      <xdr:row>4</xdr:row>
      <xdr:rowOff>33416</xdr:rowOff>
    </xdr:to>
    <xdr:sp macro="" textlink="">
      <xdr:nvSpPr>
        <xdr:cNvPr id="12" name="Retângul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FAE8A8E-A55D-461F-8EA2-CF2FEEFA892D}"/>
            </a:ext>
          </a:extLst>
        </xdr:cNvPr>
        <xdr:cNvSpPr/>
      </xdr:nvSpPr>
      <xdr:spPr>
        <a:xfrm>
          <a:off x="236482" y="538655"/>
          <a:ext cx="977062" cy="25676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Roadmad</a:t>
          </a:r>
        </a:p>
      </xdr:txBody>
    </xdr:sp>
    <xdr:clientData/>
  </xdr:twoCellAnchor>
  <xdr:twoCellAnchor editAs="absolute">
    <xdr:from>
      <xdr:col>3</xdr:col>
      <xdr:colOff>456628</xdr:colOff>
      <xdr:row>2</xdr:row>
      <xdr:rowOff>157655</xdr:rowOff>
    </xdr:from>
    <xdr:to>
      <xdr:col>3</xdr:col>
      <xdr:colOff>1423122</xdr:colOff>
      <xdr:row>4</xdr:row>
      <xdr:rowOff>33416</xdr:rowOff>
    </xdr:to>
    <xdr:sp macro="" textlink="">
      <xdr:nvSpPr>
        <xdr:cNvPr id="14" name="Retângulo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FF390D0-4688-419E-B2D4-9F073415052F}"/>
            </a:ext>
          </a:extLst>
        </xdr:cNvPr>
        <xdr:cNvSpPr/>
      </xdr:nvSpPr>
      <xdr:spPr>
        <a:xfrm>
          <a:off x="2038606" y="538655"/>
          <a:ext cx="966494" cy="25676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Missões</a:t>
          </a:r>
        </a:p>
      </xdr:txBody>
    </xdr:sp>
    <xdr:clientData/>
  </xdr:twoCellAnchor>
  <xdr:twoCellAnchor editAs="absolute">
    <xdr:from>
      <xdr:col>3</xdr:col>
      <xdr:colOff>1467076</xdr:colOff>
      <xdr:row>2</xdr:row>
      <xdr:rowOff>157655</xdr:rowOff>
    </xdr:from>
    <xdr:to>
      <xdr:col>4</xdr:col>
      <xdr:colOff>723713</xdr:colOff>
      <xdr:row>4</xdr:row>
      <xdr:rowOff>33416</xdr:rowOff>
    </xdr:to>
    <xdr:sp macro="" textlink="">
      <xdr:nvSpPr>
        <xdr:cNvPr id="15" name="Retângulo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AC1B4AD-7C18-451B-BA67-96EEEF2C12AC}"/>
            </a:ext>
          </a:extLst>
        </xdr:cNvPr>
        <xdr:cNvSpPr/>
      </xdr:nvSpPr>
      <xdr:spPr>
        <a:xfrm>
          <a:off x="3049054" y="538655"/>
          <a:ext cx="1459811" cy="25676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Equipamentos e</a:t>
          </a:r>
          <a:r>
            <a:rPr lang="pt-BR" sz="1100" b="0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Build</a:t>
          </a:r>
          <a:endParaRPr lang="pt-BR" sz="1100" b="0" cap="none" spc="0">
            <a:ln w="0"/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 editAs="absolute">
    <xdr:from>
      <xdr:col>2</xdr:col>
      <xdr:colOff>329847</xdr:colOff>
      <xdr:row>2</xdr:row>
      <xdr:rowOff>157655</xdr:rowOff>
    </xdr:from>
    <xdr:to>
      <xdr:col>3</xdr:col>
      <xdr:colOff>412673</xdr:colOff>
      <xdr:row>4</xdr:row>
      <xdr:rowOff>33416</xdr:rowOff>
    </xdr:to>
    <xdr:sp macro="" textlink="">
      <xdr:nvSpPr>
        <xdr:cNvPr id="17" name="Retângulo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2697CE0-4934-427C-9C7F-1D5FF691D33D}"/>
            </a:ext>
          </a:extLst>
        </xdr:cNvPr>
        <xdr:cNvSpPr/>
      </xdr:nvSpPr>
      <xdr:spPr>
        <a:xfrm>
          <a:off x="1257499" y="538655"/>
          <a:ext cx="737152" cy="25676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LvL e Skill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C078F0-6782-45E2-8ED2-B1A0E163DAD3}" name="Tabela1" displayName="Tabela1" ref="B7:H32" totalsRowShown="0" headerRowDxfId="23" dataDxfId="21" headerRowBorderDxfId="22" tableBorderDxfId="20" totalsRowBorderDxfId="19">
  <autoFilter ref="B7:H32" xr:uid="{8EC078F0-6782-45E2-8ED2-B1A0E163DAD3}"/>
  <tableColumns count="7">
    <tableColumn id="1" xr3:uid="{8175E474-F7CF-489C-9078-80B3B0E0015F}" name="Fase" dataDxfId="18"/>
    <tableColumn id="2" xr3:uid="{1657B0FF-278E-4349-98A2-7CD0AC93422D}" name="Fases" dataDxfId="17"/>
    <tableColumn id="3" xr3:uid="{67F54F7B-2620-43C9-9E23-125009C846D2}" name="Objetivo" dataDxfId="16"/>
    <tableColumn id="4" xr3:uid="{0894A880-3D8E-4C13-9BF6-D50108D23ECF}" name="Status" dataDxfId="15"/>
    <tableColumn id="6" xr3:uid="{B6BB12AD-7CAF-4E62-A3D3-49AFCA1DCABA}" name="Prioridade" dataDxfId="14"/>
    <tableColumn id="7" xr3:uid="{A3A23250-FCBD-400C-B24B-F044D741189A}" name="Observação" dataDxfId="13"/>
    <tableColumn id="8" xr3:uid="{49E066B6-E7B3-4152-8819-D36F2652C77B}" name="Link do Vídeo" dataDxfId="1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4664C8-D8F1-49E9-8657-73C74AB33694}" name="Tabela2" displayName="Tabela2" ref="B6:I12" totalsRowShown="0" headerRowDxfId="11" tableBorderDxfId="10">
  <autoFilter ref="B6:I12" xr:uid="{104664C8-D8F1-49E9-8657-73C74AB33694}"/>
  <sortState xmlns:xlrd2="http://schemas.microsoft.com/office/spreadsheetml/2017/richdata2" ref="B7:I12">
    <sortCondition ref="F6:F12"/>
  </sortState>
  <tableColumns count="8">
    <tableColumn id="1" xr3:uid="{805D46C6-4E28-4E0D-9A88-BD008182A111}" name="Pedra " dataDxfId="9"/>
    <tableColumn id="2" xr3:uid="{9F9FE059-E7E5-47F1-A5B7-6366D4B14798}" name=" Grau " dataDxfId="8"/>
    <tableColumn id="3" xr3:uid="{48AD2A88-F2FC-4563-9070-306AC7A77F13}" name=" Bônus" dataDxfId="7"/>
    <tableColumn id="4" xr3:uid="{F8D7F210-F724-4922-937E-B1CA034A11D6}" name=" Ideal PvP " dataDxfId="6"/>
    <tableColumn id="5" xr3:uid="{FA93099E-82F7-447F-AD5A-84AFAC5E55B0}" name=" Prioridade " dataDxfId="5"/>
    <tableColumn id="6" xr3:uid="{06E151C2-B521-4385-B886-DA797BCE771F}" name=" Custo Estimado " dataDxfId="4"/>
    <tableColumn id="7" xr3:uid="{62081D1D-F976-457A-A502-E6B3E9817FB1}" name="Comprado" dataDxfId="3"/>
    <tableColumn id="8" xr3:uid="{AA555C76-11A7-4A99-A2F5-4E2C0FFB1E97}" name="Observação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@BispoShinsu" TargetMode="External"/><Relationship Id="rId1" Type="http://schemas.openxmlformats.org/officeDocument/2006/relationships/hyperlink" Target="https://www.youtube.com/@BispoShinsu" TargetMode="External"/><Relationship Id="rId5" Type="http://schemas.openxmlformats.org/officeDocument/2006/relationships/table" Target="../tables/table1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youtu.be/VHF2vdCBsSo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aom2.org/pt-br/news/341-power-pets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A0EC1-CDD7-4CD6-A3CE-6894F0850742}">
  <dimension ref="B2:Q26"/>
  <sheetViews>
    <sheetView showGridLines="0" zoomScale="85" zoomScaleNormal="85" workbookViewId="0">
      <selection activeCell="D37" sqref="D37"/>
    </sheetView>
  </sheetViews>
  <sheetFormatPr defaultRowHeight="15" x14ac:dyDescent="0.25"/>
  <cols>
    <col min="2" max="2" width="26.140625" customWidth="1"/>
    <col min="3" max="3" width="2.5703125" customWidth="1"/>
    <col min="4" max="4" width="14.7109375" bestFit="1" customWidth="1"/>
    <col min="5" max="5" width="2.5703125" customWidth="1"/>
    <col min="6" max="6" width="19.5703125" bestFit="1" customWidth="1"/>
    <col min="7" max="7" width="2.5703125" customWidth="1"/>
    <col min="8" max="8" width="19.85546875" bestFit="1" customWidth="1"/>
    <col min="9" max="9" width="20.28515625" bestFit="1" customWidth="1"/>
    <col min="10" max="10" width="19.85546875" bestFit="1" customWidth="1"/>
    <col min="11" max="11" width="20.28515625" bestFit="1" customWidth="1"/>
    <col min="12" max="12" width="22" bestFit="1" customWidth="1"/>
    <col min="13" max="13" width="18.28515625" bestFit="1" customWidth="1"/>
    <col min="14" max="14" width="24.140625" bestFit="1" customWidth="1"/>
    <col min="15" max="15" width="14.28515625" bestFit="1" customWidth="1"/>
    <col min="16" max="16" width="17.28515625" bestFit="1" customWidth="1"/>
    <col min="17" max="17" width="22.42578125" bestFit="1" customWidth="1"/>
  </cols>
  <sheetData>
    <row r="2" spans="2:17" x14ac:dyDescent="0.25">
      <c r="H2" s="85" t="s">
        <v>102</v>
      </c>
      <c r="I2" s="85"/>
      <c r="J2" s="85"/>
      <c r="K2" s="85"/>
      <c r="L2" s="85"/>
      <c r="M2" s="85"/>
      <c r="N2" s="85"/>
      <c r="O2" s="85"/>
      <c r="P2" s="85"/>
      <c r="Q2" s="85"/>
    </row>
    <row r="3" spans="2:17" x14ac:dyDescent="0.25">
      <c r="B3" s="29" t="s">
        <v>49</v>
      </c>
      <c r="D3" s="29" t="s">
        <v>24</v>
      </c>
      <c r="F3" s="29" t="s">
        <v>61</v>
      </c>
      <c r="H3" s="24" t="s">
        <v>65</v>
      </c>
      <c r="I3" s="24" t="s">
        <v>75</v>
      </c>
      <c r="J3" s="24" t="s">
        <v>76</v>
      </c>
      <c r="K3" s="24" t="s">
        <v>77</v>
      </c>
      <c r="L3" s="24" t="s">
        <v>78</v>
      </c>
      <c r="M3" s="24" t="s">
        <v>79</v>
      </c>
      <c r="N3" s="24" t="s">
        <v>80</v>
      </c>
      <c r="O3" s="24" t="s">
        <v>88</v>
      </c>
      <c r="P3" s="24" t="s">
        <v>89</v>
      </c>
      <c r="Q3" s="24" t="s">
        <v>81</v>
      </c>
    </row>
    <row r="4" spans="2:17" x14ac:dyDescent="0.25">
      <c r="B4" s="20" t="s">
        <v>52</v>
      </c>
      <c r="D4" s="20" t="s">
        <v>56</v>
      </c>
      <c r="F4" s="28" t="s">
        <v>62</v>
      </c>
      <c r="H4" s="26" t="s">
        <v>66</v>
      </c>
      <c r="I4" s="79" t="s">
        <v>296</v>
      </c>
      <c r="J4" s="79" t="s">
        <v>297</v>
      </c>
      <c r="K4" s="79" t="s">
        <v>298</v>
      </c>
      <c r="L4" s="79" t="s">
        <v>299</v>
      </c>
      <c r="M4" s="79" t="s">
        <v>300</v>
      </c>
      <c r="N4" s="79" t="s">
        <v>301</v>
      </c>
      <c r="O4" s="27" t="s">
        <v>97</v>
      </c>
      <c r="P4" s="27" t="s">
        <v>98</v>
      </c>
      <c r="Q4" s="27" t="s">
        <v>213</v>
      </c>
    </row>
    <row r="5" spans="2:17" x14ac:dyDescent="0.25">
      <c r="B5" s="20" t="s">
        <v>50</v>
      </c>
      <c r="D5" s="20" t="s">
        <v>53</v>
      </c>
      <c r="F5" s="27" t="s">
        <v>63</v>
      </c>
      <c r="H5" s="26" t="s">
        <v>67</v>
      </c>
      <c r="I5" s="79" t="s">
        <v>82</v>
      </c>
      <c r="J5" s="79" t="s">
        <v>83</v>
      </c>
      <c r="K5" s="79" t="s">
        <v>84</v>
      </c>
      <c r="L5" s="79" t="s">
        <v>85</v>
      </c>
      <c r="M5" s="79" t="s">
        <v>87</v>
      </c>
      <c r="N5" s="79" t="s">
        <v>86</v>
      </c>
      <c r="O5" s="27" t="s">
        <v>97</v>
      </c>
      <c r="P5" s="27" t="s">
        <v>82</v>
      </c>
      <c r="Q5" s="27" t="s">
        <v>213</v>
      </c>
    </row>
    <row r="6" spans="2:17" x14ac:dyDescent="0.25">
      <c r="B6" s="20" t="s">
        <v>51</v>
      </c>
      <c r="D6" s="20" t="s">
        <v>54</v>
      </c>
      <c r="F6" s="27" t="s">
        <v>64</v>
      </c>
      <c r="H6" s="26" t="s">
        <v>68</v>
      </c>
      <c r="I6" s="79" t="s">
        <v>90</v>
      </c>
      <c r="J6" s="79" t="s">
        <v>93</v>
      </c>
      <c r="K6" s="79" t="s">
        <v>91</v>
      </c>
      <c r="L6" s="79" t="s">
        <v>92</v>
      </c>
      <c r="M6" s="79" t="s">
        <v>94</v>
      </c>
      <c r="N6" s="79" t="s">
        <v>95</v>
      </c>
      <c r="O6" s="27" t="s">
        <v>97</v>
      </c>
      <c r="P6" s="27" t="s">
        <v>92</v>
      </c>
      <c r="Q6" s="27" t="s">
        <v>212</v>
      </c>
    </row>
    <row r="7" spans="2:17" x14ac:dyDescent="0.25">
      <c r="D7" s="20" t="s">
        <v>55</v>
      </c>
      <c r="H7" s="26" t="s">
        <v>74</v>
      </c>
      <c r="I7" s="79" t="s">
        <v>291</v>
      </c>
      <c r="J7" s="79" t="s">
        <v>292</v>
      </c>
      <c r="K7" s="79" t="s">
        <v>293</v>
      </c>
      <c r="L7" s="79" t="s">
        <v>294</v>
      </c>
      <c r="M7" s="79" t="s">
        <v>99</v>
      </c>
      <c r="N7" s="79" t="s">
        <v>295</v>
      </c>
      <c r="O7" s="27" t="s">
        <v>97</v>
      </c>
      <c r="P7" s="27" t="s">
        <v>99</v>
      </c>
      <c r="Q7" s="27" t="s">
        <v>211</v>
      </c>
    </row>
    <row r="8" spans="2:17" x14ac:dyDescent="0.25">
      <c r="H8" s="80" t="s">
        <v>69</v>
      </c>
      <c r="I8" s="17" t="s">
        <v>265</v>
      </c>
      <c r="J8" s="17" t="s">
        <v>266</v>
      </c>
      <c r="K8" s="17" t="s">
        <v>267</v>
      </c>
      <c r="L8" s="17" t="s">
        <v>269</v>
      </c>
      <c r="M8" s="17" t="s">
        <v>268</v>
      </c>
      <c r="N8" s="17"/>
      <c r="O8" s="27" t="s">
        <v>97</v>
      </c>
      <c r="P8" s="27" t="s">
        <v>100</v>
      </c>
      <c r="Q8" s="27" t="s">
        <v>214</v>
      </c>
    </row>
    <row r="9" spans="2:17" x14ac:dyDescent="0.25">
      <c r="H9" s="80" t="s">
        <v>70</v>
      </c>
      <c r="I9" s="17" t="s">
        <v>270</v>
      </c>
      <c r="J9" s="17" t="s">
        <v>271</v>
      </c>
      <c r="K9" s="17" t="s">
        <v>272</v>
      </c>
      <c r="L9" s="17" t="s">
        <v>273</v>
      </c>
      <c r="M9" s="17" t="s">
        <v>274</v>
      </c>
      <c r="N9" s="17" t="s">
        <v>275</v>
      </c>
      <c r="O9" s="27" t="s">
        <v>97</v>
      </c>
      <c r="P9" s="27" t="s">
        <v>205</v>
      </c>
      <c r="Q9" s="27" t="s">
        <v>210</v>
      </c>
    </row>
    <row r="10" spans="2:17" x14ac:dyDescent="0.25">
      <c r="B10" s="29" t="s">
        <v>103</v>
      </c>
      <c r="H10" s="80" t="s">
        <v>71</v>
      </c>
      <c r="I10" s="17" t="s">
        <v>204</v>
      </c>
      <c r="J10" s="17" t="s">
        <v>276</v>
      </c>
      <c r="K10" s="17" t="s">
        <v>277</v>
      </c>
      <c r="L10" s="17" t="s">
        <v>278</v>
      </c>
      <c r="M10" s="17" t="s">
        <v>279</v>
      </c>
      <c r="N10" s="17" t="s">
        <v>280</v>
      </c>
      <c r="O10" s="27" t="s">
        <v>97</v>
      </c>
      <c r="P10" s="27" t="s">
        <v>204</v>
      </c>
      <c r="Q10" s="27" t="s">
        <v>209</v>
      </c>
    </row>
    <row r="11" spans="2:17" x14ac:dyDescent="0.25">
      <c r="B11" s="27" t="s">
        <v>302</v>
      </c>
      <c r="H11" s="80" t="s">
        <v>72</v>
      </c>
      <c r="I11" s="17" t="s">
        <v>101</v>
      </c>
      <c r="J11" s="17" t="s">
        <v>286</v>
      </c>
      <c r="K11" s="17" t="s">
        <v>287</v>
      </c>
      <c r="L11" s="17" t="s">
        <v>288</v>
      </c>
      <c r="M11" s="17" t="s">
        <v>289</v>
      </c>
      <c r="N11" s="17" t="s">
        <v>290</v>
      </c>
      <c r="O11" s="27" t="s">
        <v>97</v>
      </c>
      <c r="P11" s="27" t="s">
        <v>101</v>
      </c>
      <c r="Q11" s="27" t="s">
        <v>208</v>
      </c>
    </row>
    <row r="12" spans="2:17" x14ac:dyDescent="0.25">
      <c r="B12" s="27" t="s">
        <v>303</v>
      </c>
      <c r="H12" s="80" t="s">
        <v>73</v>
      </c>
      <c r="I12" s="17" t="s">
        <v>281</v>
      </c>
      <c r="J12" s="17" t="s">
        <v>282</v>
      </c>
      <c r="K12" s="17" t="s">
        <v>283</v>
      </c>
      <c r="L12" s="17" t="s">
        <v>284</v>
      </c>
      <c r="M12" s="17" t="s">
        <v>285</v>
      </c>
      <c r="N12" s="17" t="s">
        <v>206</v>
      </c>
      <c r="O12" s="27" t="s">
        <v>97</v>
      </c>
      <c r="P12" s="27" t="s">
        <v>206</v>
      </c>
      <c r="Q12" s="27" t="s">
        <v>207</v>
      </c>
    </row>
    <row r="13" spans="2:17" x14ac:dyDescent="0.25">
      <c r="B13" s="27" t="s">
        <v>304</v>
      </c>
    </row>
    <row r="14" spans="2:17" x14ac:dyDescent="0.25">
      <c r="B14" s="27" t="s">
        <v>305</v>
      </c>
    </row>
    <row r="15" spans="2:17" x14ac:dyDescent="0.25">
      <c r="B15" s="27" t="s">
        <v>306</v>
      </c>
    </row>
    <row r="16" spans="2:17" x14ac:dyDescent="0.25">
      <c r="B16" s="27" t="s">
        <v>307</v>
      </c>
    </row>
    <row r="17" spans="2:2" x14ac:dyDescent="0.25">
      <c r="B17" s="27" t="s">
        <v>308</v>
      </c>
    </row>
    <row r="18" spans="2:2" x14ac:dyDescent="0.25">
      <c r="B18" s="27" t="s">
        <v>309</v>
      </c>
    </row>
    <row r="23" spans="2:2" x14ac:dyDescent="0.25">
      <c r="B23" t="s">
        <v>138</v>
      </c>
    </row>
    <row r="24" spans="2:2" x14ac:dyDescent="0.25">
      <c r="B24" t="s">
        <v>140</v>
      </c>
    </row>
    <row r="25" spans="2:2" x14ac:dyDescent="0.25">
      <c r="B25" t="s">
        <v>139</v>
      </c>
    </row>
    <row r="26" spans="2:2" x14ac:dyDescent="0.25">
      <c r="B26" t="s">
        <v>141</v>
      </c>
    </row>
  </sheetData>
  <mergeCells count="1">
    <mergeCell ref="H2:Q2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2ADD-8201-44C2-B8E2-533F547DCA47}">
  <dimension ref="C1:P19"/>
  <sheetViews>
    <sheetView showGridLines="0" showRowColHeaders="0" tabSelected="1" topLeftCell="C1" zoomScale="175" zoomScaleNormal="175" workbookViewId="0"/>
  </sheetViews>
  <sheetFormatPr defaultColWidth="0" defaultRowHeight="15" zeroHeight="1" x14ac:dyDescent="0.25"/>
  <cols>
    <col min="1" max="2" width="9.140625" style="18" hidden="1" customWidth="1"/>
    <col min="3" max="16" width="9.140625" style="18" customWidth="1"/>
    <col min="17" max="16384" width="9.140625" style="18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</sheetData>
  <sheetProtection algorithmName="SHA-512" hashValue="rUWTRG0Ts/IMPBPixC5GJSj6SAxXuNu+VPDfAXexyoeYbCm6Bvu06VJI2pIqlKkQ4wlQC8AkV+RERUREyII7OQ==" saltValue="1Pnal75pYhcLnvjpgb9pFA==" spinCount="100000" sheet="1" objects="1" scenarios="1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CF13B-3F31-4D6B-9718-F4A22B5CDC12}">
  <dimension ref="B2:G19"/>
  <sheetViews>
    <sheetView showGridLines="0" topLeftCell="A3" zoomScale="85" zoomScaleNormal="85" workbookViewId="0">
      <selection activeCell="D15" sqref="D15"/>
    </sheetView>
  </sheetViews>
  <sheetFormatPr defaultRowHeight="11.25" x14ac:dyDescent="0.2"/>
  <cols>
    <col min="1" max="1" width="3" style="12" customWidth="1"/>
    <col min="2" max="2" width="3.85546875" style="9" customWidth="1"/>
    <col min="3" max="3" width="40.85546875" style="12" customWidth="1"/>
    <col min="4" max="4" width="136.85546875" style="9" customWidth="1"/>
    <col min="5" max="5" width="26.42578125" style="12" customWidth="1"/>
    <col min="6" max="6" width="9.140625" style="12"/>
    <col min="7" max="7" width="17.85546875" style="12" customWidth="1"/>
    <col min="8" max="16384" width="9.140625" style="12"/>
  </cols>
  <sheetData>
    <row r="2" spans="2:7" ht="58.5" customHeight="1" x14ac:dyDescent="0.2">
      <c r="C2" s="11" t="s">
        <v>8</v>
      </c>
    </row>
    <row r="4" spans="2:7" x14ac:dyDescent="0.2">
      <c r="C4" s="86" t="s">
        <v>0</v>
      </c>
      <c r="D4" s="86"/>
      <c r="E4" s="86"/>
    </row>
    <row r="5" spans="2:7" x14ac:dyDescent="0.2">
      <c r="C5" s="13" t="s">
        <v>7</v>
      </c>
      <c r="D5" s="14"/>
      <c r="E5" s="13"/>
    </row>
    <row r="6" spans="2:7" x14ac:dyDescent="0.2">
      <c r="C6" s="13"/>
      <c r="D6" s="14"/>
      <c r="E6" s="13"/>
    </row>
    <row r="7" spans="2:7" x14ac:dyDescent="0.2">
      <c r="C7" s="13"/>
      <c r="D7" s="14"/>
      <c r="E7" s="13"/>
    </row>
    <row r="8" spans="2:7" x14ac:dyDescent="0.2">
      <c r="B8" s="3"/>
      <c r="C8" s="4" t="s">
        <v>9</v>
      </c>
      <c r="D8" s="4" t="s">
        <v>10</v>
      </c>
    </row>
    <row r="9" spans="2:7" ht="56.25" x14ac:dyDescent="0.2">
      <c r="B9" s="3">
        <v>1</v>
      </c>
      <c r="C9" s="5" t="s">
        <v>1</v>
      </c>
      <c r="D9" s="2" t="s">
        <v>13</v>
      </c>
      <c r="G9" s="15"/>
    </row>
    <row r="10" spans="2:7" ht="56.25" x14ac:dyDescent="0.2">
      <c r="B10" s="3">
        <v>2</v>
      </c>
      <c r="C10" s="5" t="s">
        <v>11</v>
      </c>
      <c r="D10" s="2" t="s">
        <v>14</v>
      </c>
      <c r="E10" s="11" t="s">
        <v>20</v>
      </c>
      <c r="G10" s="15"/>
    </row>
    <row r="11" spans="2:7" ht="22.5" x14ac:dyDescent="0.2">
      <c r="B11" s="6">
        <v>3</v>
      </c>
      <c r="C11" s="16" t="s">
        <v>15</v>
      </c>
      <c r="D11" s="2"/>
    </row>
    <row r="12" spans="2:7" ht="22.5" x14ac:dyDescent="0.2">
      <c r="B12" s="6"/>
      <c r="C12" s="16" t="s">
        <v>19</v>
      </c>
      <c r="D12" s="8"/>
    </row>
    <row r="13" spans="2:7" x14ac:dyDescent="0.2">
      <c r="B13" s="6"/>
      <c r="C13" s="7" t="s">
        <v>16</v>
      </c>
      <c r="D13" s="8"/>
    </row>
    <row r="14" spans="2:7" ht="202.5" x14ac:dyDescent="0.2">
      <c r="B14" s="3">
        <v>4</v>
      </c>
      <c r="C14" s="2" t="s">
        <v>17</v>
      </c>
    </row>
    <row r="15" spans="2:7" ht="191.25" x14ac:dyDescent="0.2">
      <c r="B15" s="3">
        <v>5</v>
      </c>
      <c r="C15" s="2" t="s">
        <v>18</v>
      </c>
      <c r="D15" s="3"/>
    </row>
    <row r="16" spans="2:7" x14ac:dyDescent="0.2">
      <c r="B16" s="3">
        <v>7</v>
      </c>
      <c r="C16" s="2"/>
      <c r="D16" s="3"/>
    </row>
    <row r="17" spans="2:4" x14ac:dyDescent="0.2">
      <c r="B17" s="3">
        <v>8</v>
      </c>
      <c r="C17" s="10" t="s">
        <v>4</v>
      </c>
      <c r="D17" s="3"/>
    </row>
    <row r="18" spans="2:4" x14ac:dyDescent="0.2">
      <c r="B18" s="3">
        <v>9</v>
      </c>
      <c r="C18" s="10" t="s">
        <v>6</v>
      </c>
      <c r="D18" s="3"/>
    </row>
    <row r="19" spans="2:4" x14ac:dyDescent="0.2">
      <c r="C19" s="13"/>
    </row>
  </sheetData>
  <mergeCells count="1">
    <mergeCell ref="C4:E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62CCC-AF31-4E23-A28A-F6C523365209}">
  <dimension ref="A1:J39"/>
  <sheetViews>
    <sheetView showGridLines="0" zoomScale="106" zoomScaleNormal="106" workbookViewId="0">
      <pane xSplit="1" ySplit="7" topLeftCell="B8" activePane="bottomRight" state="frozen"/>
      <selection activeCell="D37" sqref="D37"/>
      <selection pane="topRight" activeCell="D37" sqref="D37"/>
      <selection pane="bottomLeft" activeCell="D37" sqref="D37"/>
      <selection pane="bottomRight"/>
    </sheetView>
  </sheetViews>
  <sheetFormatPr defaultColWidth="0" defaultRowHeight="15" zeroHeight="1" outlineLevelRow="1" x14ac:dyDescent="0.25"/>
  <cols>
    <col min="1" max="1" width="4.140625" style="19" customWidth="1"/>
    <col min="2" max="2" width="9.140625" style="19" customWidth="1"/>
    <col min="3" max="3" width="25.85546875" style="19" customWidth="1"/>
    <col min="4" max="4" width="28.28515625" style="19" bestFit="1" customWidth="1"/>
    <col min="5" max="5" width="18.28515625" style="19" customWidth="1"/>
    <col min="6" max="6" width="14.85546875" style="19" bestFit="1" customWidth="1"/>
    <col min="7" max="7" width="15.85546875" style="19" bestFit="1" customWidth="1"/>
    <col min="8" max="8" width="53.140625" style="19" customWidth="1"/>
    <col min="9" max="9" width="4.140625" style="19" customWidth="1"/>
    <col min="10" max="10" width="0" style="19" hidden="1" customWidth="1"/>
    <col min="11" max="16384" width="9.140625" style="19" hidden="1"/>
  </cols>
  <sheetData>
    <row r="1" spans="2:8" x14ac:dyDescent="0.25"/>
    <row r="2" spans="2:8" ht="15.75" x14ac:dyDescent="0.25">
      <c r="B2" s="87" t="s">
        <v>216</v>
      </c>
      <c r="C2" s="87"/>
      <c r="D2" s="87"/>
      <c r="E2" s="87"/>
      <c r="F2" s="87"/>
      <c r="G2" s="87"/>
      <c r="H2" s="87"/>
    </row>
    <row r="3" spans="2:8" x14ac:dyDescent="0.25"/>
    <row r="4" spans="2:8" x14ac:dyDescent="0.25"/>
    <row r="5" spans="2:8" x14ac:dyDescent="0.25"/>
    <row r="6" spans="2:8" x14ac:dyDescent="0.25"/>
    <row r="7" spans="2:8" x14ac:dyDescent="0.25">
      <c r="B7" s="59" t="s">
        <v>21</v>
      </c>
      <c r="C7" s="60" t="s">
        <v>129</v>
      </c>
      <c r="D7" s="60" t="s">
        <v>9</v>
      </c>
      <c r="E7" s="60" t="s">
        <v>22</v>
      </c>
      <c r="F7" s="60" t="s">
        <v>24</v>
      </c>
      <c r="G7" s="39" t="s">
        <v>25</v>
      </c>
      <c r="H7" s="60" t="s">
        <v>36</v>
      </c>
    </row>
    <row r="8" spans="2:8" x14ac:dyDescent="0.25">
      <c r="B8" s="61">
        <v>1</v>
      </c>
      <c r="C8" s="61" t="s">
        <v>26</v>
      </c>
      <c r="D8" s="61" t="s">
        <v>27</v>
      </c>
      <c r="E8" s="61" t="s">
        <v>50</v>
      </c>
      <c r="F8" s="61" t="s">
        <v>54</v>
      </c>
      <c r="G8" s="61"/>
      <c r="H8" s="62" t="s">
        <v>193</v>
      </c>
    </row>
    <row r="9" spans="2:8" x14ac:dyDescent="0.25">
      <c r="B9" s="61">
        <v>2</v>
      </c>
      <c r="C9" s="61" t="s">
        <v>11</v>
      </c>
      <c r="D9" s="61" t="s">
        <v>12</v>
      </c>
      <c r="E9" s="61" t="s">
        <v>34</v>
      </c>
      <c r="F9" s="61" t="s">
        <v>55</v>
      </c>
      <c r="G9" s="61"/>
      <c r="H9" s="62" t="s">
        <v>193</v>
      </c>
    </row>
    <row r="10" spans="2:8" x14ac:dyDescent="0.25">
      <c r="B10" s="61">
        <v>3</v>
      </c>
      <c r="C10" s="61" t="s">
        <v>30</v>
      </c>
      <c r="D10" s="61" t="s">
        <v>251</v>
      </c>
      <c r="E10" s="61" t="s">
        <v>52</v>
      </c>
      <c r="F10" s="61" t="s">
        <v>53</v>
      </c>
      <c r="G10" s="61"/>
      <c r="H10" s="62" t="s">
        <v>193</v>
      </c>
    </row>
    <row r="11" spans="2:8" ht="45" x14ac:dyDescent="0.25">
      <c r="B11" s="61">
        <v>4</v>
      </c>
      <c r="C11" s="61" t="s">
        <v>2</v>
      </c>
      <c r="D11" s="61" t="s">
        <v>31</v>
      </c>
      <c r="E11" s="61" t="s">
        <v>52</v>
      </c>
      <c r="F11" s="61" t="s">
        <v>56</v>
      </c>
      <c r="G11" s="51" t="s">
        <v>123</v>
      </c>
      <c r="H11" s="62" t="s">
        <v>193</v>
      </c>
    </row>
    <row r="12" spans="2:8" x14ac:dyDescent="0.25">
      <c r="B12" s="61">
        <v>5</v>
      </c>
      <c r="C12" s="61" t="s">
        <v>217</v>
      </c>
      <c r="D12" s="61" t="s">
        <v>161</v>
      </c>
      <c r="E12" s="61" t="s">
        <v>52</v>
      </c>
      <c r="F12" s="61" t="s">
        <v>56</v>
      </c>
      <c r="G12" s="61"/>
      <c r="H12" s="62" t="s">
        <v>193</v>
      </c>
    </row>
    <row r="13" spans="2:8" hidden="1" outlineLevel="1" x14ac:dyDescent="0.25">
      <c r="B13" s="61" t="s">
        <v>146</v>
      </c>
      <c r="C13" s="44" t="s">
        <v>105</v>
      </c>
      <c r="D13" s="61" t="s">
        <v>161</v>
      </c>
      <c r="E13" s="61" t="s">
        <v>52</v>
      </c>
      <c r="F13" s="61" t="s">
        <v>54</v>
      </c>
      <c r="G13" s="61"/>
      <c r="H13" s="62" t="s">
        <v>193</v>
      </c>
    </row>
    <row r="14" spans="2:8" hidden="1" outlineLevel="1" x14ac:dyDescent="0.25">
      <c r="B14" s="61" t="s">
        <v>147</v>
      </c>
      <c r="C14" s="44" t="s">
        <v>107</v>
      </c>
      <c r="D14" s="61" t="s">
        <v>161</v>
      </c>
      <c r="E14" s="61" t="s">
        <v>52</v>
      </c>
      <c r="F14" s="61" t="s">
        <v>54</v>
      </c>
      <c r="G14" s="61"/>
      <c r="H14" s="62" t="s">
        <v>193</v>
      </c>
    </row>
    <row r="15" spans="2:8" hidden="1" outlineLevel="1" x14ac:dyDescent="0.25">
      <c r="B15" s="61" t="s">
        <v>148</v>
      </c>
      <c r="C15" s="44" t="s">
        <v>168</v>
      </c>
      <c r="D15" s="61" t="s">
        <v>161</v>
      </c>
      <c r="E15" s="61" t="s">
        <v>52</v>
      </c>
      <c r="F15" s="61" t="s">
        <v>54</v>
      </c>
      <c r="G15" s="61"/>
      <c r="H15" s="62" t="s">
        <v>193</v>
      </c>
    </row>
    <row r="16" spans="2:8" hidden="1" outlineLevel="1" x14ac:dyDescent="0.25">
      <c r="B16" s="61" t="s">
        <v>149</v>
      </c>
      <c r="C16" s="45" t="s">
        <v>162</v>
      </c>
      <c r="D16" s="61" t="s">
        <v>161</v>
      </c>
      <c r="E16" s="61" t="s">
        <v>52</v>
      </c>
      <c r="F16" s="61" t="s">
        <v>54</v>
      </c>
      <c r="G16" s="61"/>
      <c r="H16" s="62" t="s">
        <v>193</v>
      </c>
    </row>
    <row r="17" spans="2:8" hidden="1" outlineLevel="1" x14ac:dyDescent="0.25">
      <c r="B17" s="61" t="s">
        <v>150</v>
      </c>
      <c r="C17" s="44" t="s">
        <v>163</v>
      </c>
      <c r="D17" s="61" t="s">
        <v>161</v>
      </c>
      <c r="E17" s="61" t="s">
        <v>52</v>
      </c>
      <c r="F17" s="61" t="s">
        <v>54</v>
      </c>
      <c r="G17" s="61"/>
      <c r="H17" s="62" t="s">
        <v>193</v>
      </c>
    </row>
    <row r="18" spans="2:8" hidden="1" outlineLevel="1" x14ac:dyDescent="0.25">
      <c r="B18" s="61" t="s">
        <v>151</v>
      </c>
      <c r="C18" s="44" t="s">
        <v>164</v>
      </c>
      <c r="D18" s="61" t="s">
        <v>161</v>
      </c>
      <c r="E18" s="61" t="s">
        <v>52</v>
      </c>
      <c r="F18" s="61" t="s">
        <v>54</v>
      </c>
      <c r="G18" s="61"/>
      <c r="H18" s="62" t="s">
        <v>193</v>
      </c>
    </row>
    <row r="19" spans="2:8" hidden="1" outlineLevel="1" x14ac:dyDescent="0.25">
      <c r="B19" s="61" t="s">
        <v>152</v>
      </c>
      <c r="C19" s="44" t="s">
        <v>165</v>
      </c>
      <c r="D19" s="61" t="s">
        <v>161</v>
      </c>
      <c r="E19" s="61" t="s">
        <v>52</v>
      </c>
      <c r="F19" s="61" t="s">
        <v>54</v>
      </c>
      <c r="G19" s="61"/>
      <c r="H19" s="62" t="s">
        <v>193</v>
      </c>
    </row>
    <row r="20" spans="2:8" hidden="1" outlineLevel="1" x14ac:dyDescent="0.25">
      <c r="B20" s="61" t="s">
        <v>153</v>
      </c>
      <c r="C20" s="44" t="s">
        <v>166</v>
      </c>
      <c r="D20" s="61" t="s">
        <v>161</v>
      </c>
      <c r="E20" s="61" t="s">
        <v>52</v>
      </c>
      <c r="F20" s="61" t="s">
        <v>54</v>
      </c>
      <c r="G20" s="61"/>
      <c r="H20" s="62" t="s">
        <v>193</v>
      </c>
    </row>
    <row r="21" spans="2:8" hidden="1" outlineLevel="1" x14ac:dyDescent="0.25">
      <c r="B21" s="61" t="s">
        <v>154</v>
      </c>
      <c r="C21" s="44" t="s">
        <v>167</v>
      </c>
      <c r="D21" s="61" t="s">
        <v>161</v>
      </c>
      <c r="E21" s="61" t="s">
        <v>52</v>
      </c>
      <c r="F21" s="61" t="s">
        <v>54</v>
      </c>
      <c r="G21" s="61"/>
      <c r="H21" s="62" t="s">
        <v>193</v>
      </c>
    </row>
    <row r="22" spans="2:8" hidden="1" outlineLevel="1" x14ac:dyDescent="0.25">
      <c r="B22" s="61" t="s">
        <v>155</v>
      </c>
      <c r="C22" s="44" t="s">
        <v>113</v>
      </c>
      <c r="D22" s="61" t="s">
        <v>161</v>
      </c>
      <c r="E22" s="61" t="s">
        <v>52</v>
      </c>
      <c r="F22" s="61" t="s">
        <v>54</v>
      </c>
      <c r="G22" s="61"/>
      <c r="H22" s="62" t="s">
        <v>193</v>
      </c>
    </row>
    <row r="23" spans="2:8" hidden="1" outlineLevel="1" x14ac:dyDescent="0.25">
      <c r="B23" s="61" t="s">
        <v>156</v>
      </c>
      <c r="C23" s="44" t="s">
        <v>114</v>
      </c>
      <c r="D23" s="61" t="s">
        <v>161</v>
      </c>
      <c r="E23" s="61" t="s">
        <v>52</v>
      </c>
      <c r="F23" s="61" t="s">
        <v>54</v>
      </c>
      <c r="G23" s="61"/>
      <c r="H23" s="62" t="s">
        <v>193</v>
      </c>
    </row>
    <row r="24" spans="2:8" hidden="1" outlineLevel="1" x14ac:dyDescent="0.25">
      <c r="B24" s="61" t="s">
        <v>157</v>
      </c>
      <c r="C24" s="44" t="s">
        <v>110</v>
      </c>
      <c r="D24" s="61" t="s">
        <v>161</v>
      </c>
      <c r="E24" s="61" t="s">
        <v>52</v>
      </c>
      <c r="F24" s="61" t="s">
        <v>54</v>
      </c>
      <c r="G24" s="61"/>
      <c r="H24" s="62" t="s">
        <v>193</v>
      </c>
    </row>
    <row r="25" spans="2:8" hidden="1" outlineLevel="1" x14ac:dyDescent="0.25">
      <c r="B25" s="61" t="s">
        <v>158</v>
      </c>
      <c r="C25" s="44" t="s">
        <v>115</v>
      </c>
      <c r="D25" s="61" t="s">
        <v>161</v>
      </c>
      <c r="E25" s="61" t="s">
        <v>52</v>
      </c>
      <c r="F25" s="61" t="s">
        <v>54</v>
      </c>
      <c r="G25" s="61"/>
      <c r="H25" s="62" t="s">
        <v>193</v>
      </c>
    </row>
    <row r="26" spans="2:8" hidden="1" outlineLevel="1" x14ac:dyDescent="0.25">
      <c r="B26" s="61" t="s">
        <v>159</v>
      </c>
      <c r="C26" s="44" t="s">
        <v>111</v>
      </c>
      <c r="D26" s="61" t="s">
        <v>161</v>
      </c>
      <c r="E26" s="61" t="s">
        <v>52</v>
      </c>
      <c r="F26" s="61" t="s">
        <v>54</v>
      </c>
      <c r="G26" s="61"/>
      <c r="H26" s="62" t="s">
        <v>193</v>
      </c>
    </row>
    <row r="27" spans="2:8" hidden="1" outlineLevel="1" x14ac:dyDescent="0.25">
      <c r="B27" s="61" t="s">
        <v>160</v>
      </c>
      <c r="C27" s="44" t="s">
        <v>112</v>
      </c>
      <c r="D27" s="61" t="s">
        <v>161</v>
      </c>
      <c r="E27" s="61" t="s">
        <v>52</v>
      </c>
      <c r="F27" s="61" t="s">
        <v>54</v>
      </c>
      <c r="G27" s="61"/>
      <c r="H27" s="62" t="s">
        <v>193</v>
      </c>
    </row>
    <row r="28" spans="2:8" collapsed="1" x14ac:dyDescent="0.25">
      <c r="B28" s="61">
        <v>6</v>
      </c>
      <c r="C28" s="61" t="s">
        <v>28</v>
      </c>
      <c r="D28" s="61" t="s">
        <v>12</v>
      </c>
      <c r="E28" s="61" t="s">
        <v>52</v>
      </c>
      <c r="F28" s="61" t="s">
        <v>55</v>
      </c>
      <c r="G28" s="61"/>
      <c r="H28" s="62" t="s">
        <v>193</v>
      </c>
    </row>
    <row r="29" spans="2:8" x14ac:dyDescent="0.25">
      <c r="B29" s="61">
        <v>7</v>
      </c>
      <c r="C29" s="61" t="s">
        <v>125</v>
      </c>
      <c r="D29" s="61" t="s">
        <v>33</v>
      </c>
      <c r="E29" s="61" t="s">
        <v>52</v>
      </c>
      <c r="F29" s="61" t="s">
        <v>54</v>
      </c>
      <c r="G29" s="61"/>
      <c r="H29" s="62" t="s">
        <v>193</v>
      </c>
    </row>
    <row r="30" spans="2:8" x14ac:dyDescent="0.25">
      <c r="B30" s="61">
        <v>8</v>
      </c>
      <c r="C30" s="61" t="s">
        <v>29</v>
      </c>
      <c r="D30" s="61" t="s">
        <v>32</v>
      </c>
      <c r="E30" s="61" t="s">
        <v>52</v>
      </c>
      <c r="F30" s="61" t="s">
        <v>53</v>
      </c>
      <c r="G30" s="61"/>
      <c r="H30" s="62" t="s">
        <v>193</v>
      </c>
    </row>
    <row r="31" spans="2:8" x14ac:dyDescent="0.25">
      <c r="B31" s="61">
        <v>9</v>
      </c>
      <c r="C31" s="61" t="s">
        <v>5</v>
      </c>
      <c r="D31" s="61" t="s">
        <v>252</v>
      </c>
      <c r="E31" s="61" t="s">
        <v>52</v>
      </c>
      <c r="F31" s="61" t="s">
        <v>56</v>
      </c>
      <c r="G31" s="61"/>
      <c r="H31" s="62" t="s">
        <v>193</v>
      </c>
    </row>
    <row r="32" spans="2:8" x14ac:dyDescent="0.25">
      <c r="B32" s="61">
        <v>10</v>
      </c>
      <c r="C32" s="61" t="s">
        <v>3</v>
      </c>
      <c r="D32" s="61" t="s">
        <v>218</v>
      </c>
      <c r="E32" s="61" t="s">
        <v>52</v>
      </c>
      <c r="F32" s="61" t="s">
        <v>55</v>
      </c>
      <c r="G32" s="61"/>
      <c r="H32" s="62" t="s">
        <v>193</v>
      </c>
    </row>
    <row r="33" x14ac:dyDescent="0.25"/>
    <row r="34" x14ac:dyDescent="0.25"/>
    <row r="35" x14ac:dyDescent="0.25"/>
    <row r="36" x14ac:dyDescent="0.25"/>
    <row r="39" x14ac:dyDescent="0.25"/>
  </sheetData>
  <mergeCells count="1">
    <mergeCell ref="B2:H2"/>
  </mergeCells>
  <phoneticPr fontId="7" type="noConversion"/>
  <hyperlinks>
    <hyperlink ref="H9:H32" r:id="rId1" display="https://www.youtube.com/@BispoShinsu" xr:uid="{E621E589-802E-4A57-8774-013C973D6237}"/>
    <hyperlink ref="H8" r:id="rId2" xr:uid="{DE239806-45C3-49BF-894B-E9FC933CB6A2}"/>
  </hyperlinks>
  <pageMargins left="0.511811024" right="0.511811024" top="0.78740157499999996" bottom="0.78740157499999996" header="0.31496062000000002" footer="0.31496062000000002"/>
  <pageSetup paperSize="9" scale="46" orientation="portrait" r:id="rId3"/>
  <drawing r:id="rId4"/>
  <tableParts count="1"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75E21E5-3F31-48E5-8324-662448CEB814}">
          <x14:formula1>
            <xm:f>Dados!$D$4:$D$7</xm:f>
          </x14:formula1>
          <xm:sqref>F8:F32</xm:sqref>
        </x14:dataValidation>
        <x14:dataValidation type="list" allowBlank="1" showInputMessage="1" showErrorMessage="1" xr:uid="{FE89BFC0-7046-46C8-80DB-1F610D7942C9}">
          <x14:formula1>
            <xm:f>Dados!$B$4:$B$6</xm:f>
          </x14:formula1>
          <xm:sqref>E8:E32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AB9E-FE74-4B54-9707-A62571165D59}">
  <dimension ref="A1:I25"/>
  <sheetViews>
    <sheetView showGridLines="0" zoomScale="130" zoomScaleNormal="130" workbookViewId="0"/>
  </sheetViews>
  <sheetFormatPr defaultColWidth="0" defaultRowHeight="12.75" zeroHeight="1" x14ac:dyDescent="0.2"/>
  <cols>
    <col min="1" max="1" width="3.140625" style="31" customWidth="1"/>
    <col min="2" max="2" width="13.28515625" style="30" bestFit="1" customWidth="1"/>
    <col min="3" max="3" width="17.42578125" style="31" bestFit="1" customWidth="1"/>
    <col min="4" max="4" width="3.140625" style="31" customWidth="1"/>
    <col min="5" max="5" width="4.7109375" style="31" bestFit="1" customWidth="1"/>
    <col min="6" max="6" width="28.7109375" style="31" customWidth="1"/>
    <col min="7" max="7" width="7.28515625" style="31" bestFit="1" customWidth="1"/>
    <col min="8" max="8" width="18.7109375" style="31" customWidth="1"/>
    <col min="9" max="9" width="3.140625" style="31" customWidth="1"/>
    <col min="10" max="10" width="9.140625" style="31" hidden="1" customWidth="1"/>
    <col min="11" max="16384" width="9.140625" style="31" hidden="1"/>
  </cols>
  <sheetData>
    <row r="1" spans="2:8" x14ac:dyDescent="0.2"/>
    <row r="2" spans="2:8" x14ac:dyDescent="0.2"/>
    <row r="3" spans="2:8" ht="6.75" customHeight="1" x14ac:dyDescent="0.2"/>
    <row r="4" spans="2:8" x14ac:dyDescent="0.2"/>
    <row r="5" spans="2:8" x14ac:dyDescent="0.2"/>
    <row r="6" spans="2:8" x14ac:dyDescent="0.2">
      <c r="B6" s="55" t="s">
        <v>60</v>
      </c>
      <c r="C6" s="57" t="s">
        <v>67</v>
      </c>
    </row>
    <row r="7" spans="2:8" x14ac:dyDescent="0.2"/>
    <row r="8" spans="2:8" x14ac:dyDescent="0.2">
      <c r="B8" s="55" t="s">
        <v>57</v>
      </c>
      <c r="C8" s="57">
        <v>114</v>
      </c>
      <c r="E8" s="55" t="s">
        <v>96</v>
      </c>
      <c r="F8" s="55" t="s">
        <v>59</v>
      </c>
      <c r="G8" s="56" t="s">
        <v>37</v>
      </c>
      <c r="H8" s="55" t="s">
        <v>22</v>
      </c>
    </row>
    <row r="9" spans="2:8" x14ac:dyDescent="0.2">
      <c r="B9" s="55" t="s">
        <v>58</v>
      </c>
      <c r="C9" s="57">
        <v>120</v>
      </c>
      <c r="E9" s="57">
        <v>1</v>
      </c>
      <c r="F9" s="57" t="str">
        <f>INDEX(Dados!$H$4:$Q$12,MATCH($C$6,Dados!$H$4:$H$12,),2)</f>
        <v>Técnica Cortante</v>
      </c>
      <c r="G9" s="57" t="s">
        <v>64</v>
      </c>
      <c r="H9" s="57" t="str">
        <f>IFERROR(_xlfn.IFS(G9="M","Em Andamento",G9="G","Em Andamento",G9="P","Finalizado"),"")</f>
        <v>Finalizado</v>
      </c>
    </row>
    <row r="10" spans="2:8" x14ac:dyDescent="0.2">
      <c r="B10" s="32"/>
      <c r="C10" s="32"/>
      <c r="E10" s="57">
        <v>2</v>
      </c>
      <c r="F10" s="57" t="str">
        <f>INDEX(Dados!$H$4:$Q$12,MATCH($C$6,Dados!$H$4:$H$12,),3)</f>
        <v>Tremor</v>
      </c>
      <c r="G10" s="57" t="s">
        <v>62</v>
      </c>
      <c r="H10" s="57" t="str">
        <f t="shared" ref="H10:H17" si="0">IFERROR(_xlfn.IFS(G10="M","Em Andamento",G10="G","Em Andamento",G10="P","Finalizado"),"")</f>
        <v>Em Andamento</v>
      </c>
    </row>
    <row r="11" spans="2:8" x14ac:dyDescent="0.2">
      <c r="B11" s="55" t="s">
        <v>23</v>
      </c>
      <c r="C11" s="58">
        <f>C8/C9</f>
        <v>0.95</v>
      </c>
      <c r="E11" s="57">
        <v>3</v>
      </c>
      <c r="F11" s="57" t="str">
        <f>INDEX(Dados!$H$4:$Q$12,MATCH($C$6,Dados!$H$4:$H$12,),4)</f>
        <v>Impacto Terreste</v>
      </c>
      <c r="G11" s="57" t="s">
        <v>62</v>
      </c>
      <c r="H11" s="57" t="str">
        <f t="shared" si="0"/>
        <v>Em Andamento</v>
      </c>
    </row>
    <row r="12" spans="2:8" x14ac:dyDescent="0.2">
      <c r="B12" s="32"/>
      <c r="C12" s="33"/>
      <c r="E12" s="57">
        <v>4</v>
      </c>
      <c r="F12" s="57" t="str">
        <f>INDEX(Dados!$H$4:$Q$12,MATCH($C$6,Dados!$H$4:$H$12,),5)</f>
        <v>Disparo de Energia</v>
      </c>
      <c r="G12" s="57" t="s">
        <v>62</v>
      </c>
      <c r="H12" s="57" t="str">
        <f t="shared" si="0"/>
        <v>Em Andamento</v>
      </c>
    </row>
    <row r="13" spans="2:8" x14ac:dyDescent="0.2">
      <c r="E13" s="57">
        <v>5</v>
      </c>
      <c r="F13" s="57" t="str">
        <f>INDEX(Dados!$H$4:$Q$12,MATCH($C$6,Dados!$H$4:$H$12,),6)</f>
        <v>Espada Celeste</v>
      </c>
      <c r="G13" s="57" t="s">
        <v>62</v>
      </c>
      <c r="H13" s="57" t="str">
        <f t="shared" si="0"/>
        <v>Em Andamento</v>
      </c>
    </row>
    <row r="14" spans="2:8" x14ac:dyDescent="0.2">
      <c r="B14" s="32"/>
      <c r="C14" s="33"/>
      <c r="E14" s="57">
        <v>6</v>
      </c>
      <c r="F14" s="57" t="str">
        <f>INDEX(Dados!$H$4:$Q$12,MATCH($C$6,Dados!$H$4:$H$12,),7)</f>
        <v>Defesa Superior</v>
      </c>
      <c r="G14" s="57" t="s">
        <v>62</v>
      </c>
      <c r="H14" s="57" t="str">
        <f t="shared" si="0"/>
        <v>Em Andamento</v>
      </c>
    </row>
    <row r="15" spans="2:8" x14ac:dyDescent="0.2">
      <c r="B15" s="81" t="s">
        <v>310</v>
      </c>
      <c r="C15" s="81" t="s">
        <v>313</v>
      </c>
      <c r="E15" s="57">
        <v>7</v>
      </c>
      <c r="F15" s="78" t="s">
        <v>305</v>
      </c>
      <c r="G15" s="77" t="s">
        <v>64</v>
      </c>
      <c r="H15" s="77" t="str">
        <f t="shared" si="0"/>
        <v>Finalizado</v>
      </c>
    </row>
    <row r="16" spans="2:8" x14ac:dyDescent="0.2">
      <c r="B16" s="82" t="s">
        <v>311</v>
      </c>
      <c r="C16" s="82" t="s">
        <v>312</v>
      </c>
      <c r="E16" s="57">
        <v>8</v>
      </c>
      <c r="F16" s="76" t="str">
        <f>INDEX(Dados!$H$4:$Q$12,MATCH($C$6,Dados!$H$4:$H$12,),9)</f>
        <v>Técnica Cortante</v>
      </c>
      <c r="G16" s="76" t="s">
        <v>64</v>
      </c>
      <c r="H16" s="76" t="str">
        <f t="shared" si="0"/>
        <v>Finalizado</v>
      </c>
    </row>
    <row r="17" spans="2:8" x14ac:dyDescent="0.2">
      <c r="C17" s="30"/>
      <c r="E17" s="57">
        <v>9</v>
      </c>
      <c r="F17" s="75" t="str">
        <f>INDEX(Dados!$H$4:$Q$12,MATCH($C$6,Dados!$H$4:$H$12,),10)</f>
        <v>Terremoto</v>
      </c>
      <c r="G17" s="75" t="s">
        <v>64</v>
      </c>
      <c r="H17" s="75" t="str">
        <f t="shared" si="0"/>
        <v>Finalizado</v>
      </c>
    </row>
    <row r="18" spans="2:8" x14ac:dyDescent="0.2">
      <c r="E18" s="32"/>
      <c r="G18" s="32"/>
      <c r="H18" s="32"/>
    </row>
    <row r="19" spans="2:8" x14ac:dyDescent="0.2">
      <c r="E19" s="55" t="s">
        <v>96</v>
      </c>
      <c r="F19" s="55" t="s">
        <v>59</v>
      </c>
      <c r="G19" s="56" t="s">
        <v>37</v>
      </c>
      <c r="H19" s="55" t="s">
        <v>22</v>
      </c>
    </row>
    <row r="20" spans="2:8" x14ac:dyDescent="0.2">
      <c r="E20" s="57">
        <v>1</v>
      </c>
      <c r="F20" s="57" t="s">
        <v>127</v>
      </c>
      <c r="G20" s="57" t="s">
        <v>62</v>
      </c>
      <c r="H20" s="57" t="str">
        <f>IFERROR(_xlfn.IFS(G20="M","Em Andamento",G20="G","Em Andamento",G20="P","Finalizado"),"")</f>
        <v>Em Andamento</v>
      </c>
    </row>
    <row r="21" spans="2:8" x14ac:dyDescent="0.2">
      <c r="E21" s="57">
        <v>2</v>
      </c>
      <c r="F21" s="57" t="s">
        <v>128</v>
      </c>
      <c r="G21" s="57" t="s">
        <v>62</v>
      </c>
      <c r="H21" s="57" t="str">
        <f>IFERROR(_xlfn.IFS(G21="M","Em Andamento",G21="G","Em Andamento",G21="P","Finalizado"),"")</f>
        <v>Em Andamento</v>
      </c>
    </row>
    <row r="22" spans="2:8" x14ac:dyDescent="0.2">
      <c r="E22" s="57">
        <v>3</v>
      </c>
      <c r="F22" s="57" t="s">
        <v>255</v>
      </c>
      <c r="G22" s="57" t="s">
        <v>62</v>
      </c>
      <c r="H22" s="57" t="str">
        <f>IFERROR(_xlfn.IFS(G22="M","Em Andamento",G22="G","Em Andamento",G22="P","Finalizado"),"")</f>
        <v>Em Andamento</v>
      </c>
    </row>
    <row r="23" spans="2:8" x14ac:dyDescent="0.2"/>
    <row r="24" spans="2:8" x14ac:dyDescent="0.2">
      <c r="B24" s="88" t="s">
        <v>320</v>
      </c>
      <c r="C24" s="88"/>
    </row>
    <row r="25" spans="2:8" x14ac:dyDescent="0.2"/>
  </sheetData>
  <mergeCells count="1">
    <mergeCell ref="B24:C24"/>
  </mergeCells>
  <hyperlinks>
    <hyperlink ref="B24:C24" r:id="rId1" display="Como upar com o máximo de XP" xr:uid="{EF5DE155-E443-4D2D-8BC1-F71C96097EA3}"/>
  </hyperlinks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ACF7F6F-2090-4D19-8B83-FBA71FD70A85}">
          <x14:formula1>
            <xm:f>Dados!$F$4:$F$6</xm:f>
          </x14:formula1>
          <xm:sqref>G9:G18 G20:G22</xm:sqref>
        </x14:dataValidation>
        <x14:dataValidation type="list" allowBlank="1" showInputMessage="1" showErrorMessage="1" xr:uid="{16C36EEA-F707-423A-8EEE-DAC1422B1E6B}">
          <x14:formula1>
            <xm:f>Dados!$H$4:$H$12</xm:f>
          </x14:formula1>
          <xm:sqref>C6</xm:sqref>
        </x14:dataValidation>
        <x14:dataValidation type="list" allowBlank="1" showInputMessage="1" showErrorMessage="1" xr:uid="{28CE8300-B21D-4817-B297-62ACD1E7122B}">
          <x14:formula1>
            <xm:f>Dados!$B$11:$B$18</xm:f>
          </x14:formula1>
          <xm:sqref>F15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EC81-0364-42AD-A4F0-337CA3C16ADC}">
  <dimension ref="A6:F19"/>
  <sheetViews>
    <sheetView showGridLines="0" zoomScale="85" zoomScaleNormal="85" workbookViewId="0"/>
  </sheetViews>
  <sheetFormatPr defaultColWidth="0" defaultRowHeight="15" x14ac:dyDescent="0.25"/>
  <cols>
    <col min="1" max="1" width="3.42578125" customWidth="1"/>
    <col min="2" max="2" width="9.140625" customWidth="1"/>
    <col min="3" max="3" width="107" customWidth="1"/>
    <col min="4" max="4" width="22.28515625" style="21" customWidth="1"/>
    <col min="5" max="5" width="3.42578125" customWidth="1"/>
    <col min="6" max="6" width="0" hidden="1" customWidth="1"/>
    <col min="7" max="16384" width="9.140625" hidden="1"/>
  </cols>
  <sheetData>
    <row r="6" spans="2:4" ht="60" customHeight="1" x14ac:dyDescent="0.25">
      <c r="B6" s="40" t="s">
        <v>44</v>
      </c>
      <c r="C6" s="92" t="s">
        <v>35</v>
      </c>
      <c r="D6" s="93"/>
    </row>
    <row r="7" spans="2:4" x14ac:dyDescent="0.25">
      <c r="B7" s="21"/>
      <c r="C7" s="1"/>
    </row>
    <row r="8" spans="2:4" ht="13.5" customHeight="1" x14ac:dyDescent="0.25">
      <c r="B8" s="21"/>
      <c r="C8" s="83" t="s">
        <v>46</v>
      </c>
      <c r="D8" s="34" t="s">
        <v>45</v>
      </c>
    </row>
    <row r="9" spans="2:4" ht="30" x14ac:dyDescent="0.25">
      <c r="B9" s="89" t="s">
        <v>42</v>
      </c>
      <c r="C9" s="54" t="s">
        <v>169</v>
      </c>
      <c r="D9" s="84" t="s">
        <v>51</v>
      </c>
    </row>
    <row r="10" spans="2:4" ht="30" x14ac:dyDescent="0.25">
      <c r="B10" s="89"/>
      <c r="C10" s="53" t="s">
        <v>170</v>
      </c>
      <c r="D10" s="45" t="s">
        <v>50</v>
      </c>
    </row>
    <row r="11" spans="2:4" ht="30" x14ac:dyDescent="0.25">
      <c r="B11" s="89"/>
      <c r="C11" s="53" t="s">
        <v>174</v>
      </c>
      <c r="D11" s="45" t="s">
        <v>50</v>
      </c>
    </row>
    <row r="12" spans="2:4" ht="30" x14ac:dyDescent="0.25">
      <c r="B12" s="89"/>
      <c r="C12" s="53" t="s">
        <v>175</v>
      </c>
      <c r="D12" s="45" t="s">
        <v>52</v>
      </c>
    </row>
    <row r="13" spans="2:4" ht="30" x14ac:dyDescent="0.25">
      <c r="B13" s="89"/>
      <c r="C13" s="53" t="s">
        <v>171</v>
      </c>
      <c r="D13" s="45" t="s">
        <v>52</v>
      </c>
    </row>
    <row r="14" spans="2:4" ht="45" x14ac:dyDescent="0.25">
      <c r="B14" s="89"/>
      <c r="C14" s="53" t="s">
        <v>250</v>
      </c>
      <c r="D14" s="45" t="s">
        <v>52</v>
      </c>
    </row>
    <row r="15" spans="2:4" ht="30" x14ac:dyDescent="0.25">
      <c r="B15" s="89"/>
      <c r="C15" s="53" t="s">
        <v>172</v>
      </c>
      <c r="D15" s="45" t="s">
        <v>52</v>
      </c>
    </row>
    <row r="16" spans="2:4" ht="30" x14ac:dyDescent="0.25">
      <c r="B16" s="89"/>
      <c r="C16" s="53" t="s">
        <v>173</v>
      </c>
      <c r="D16" s="45" t="s">
        <v>52</v>
      </c>
    </row>
    <row r="17" spans="2:4" ht="90" x14ac:dyDescent="0.25">
      <c r="B17" s="90" t="s">
        <v>43</v>
      </c>
      <c r="C17" s="52" t="s">
        <v>47</v>
      </c>
      <c r="D17" s="45" t="s">
        <v>52</v>
      </c>
    </row>
    <row r="18" spans="2:4" ht="120" x14ac:dyDescent="0.25">
      <c r="B18" s="91"/>
      <c r="C18" s="52" t="s">
        <v>48</v>
      </c>
      <c r="D18" s="45" t="s">
        <v>52</v>
      </c>
    </row>
    <row r="19" spans="2:4" ht="90" x14ac:dyDescent="0.25">
      <c r="B19" s="91"/>
      <c r="C19" s="43" t="s">
        <v>215</v>
      </c>
      <c r="D19" s="45" t="s">
        <v>52</v>
      </c>
    </row>
  </sheetData>
  <mergeCells count="3">
    <mergeCell ref="B9:B16"/>
    <mergeCell ref="B17:B19"/>
    <mergeCell ref="C6:D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6BF5E4-2B5F-49BF-BDDA-88CE21EB844E}">
          <x14:formula1>
            <xm:f>Dados!$B$4:$B$6</xm:f>
          </x14:formula1>
          <xm:sqref>D9:D19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D9D64-80CF-46DA-955D-EFA3615F6278}">
  <dimension ref="A2:J58"/>
  <sheetViews>
    <sheetView showGridLines="0" zoomScale="85" zoomScaleNormal="85" workbookViewId="0"/>
  </sheetViews>
  <sheetFormatPr defaultColWidth="0" defaultRowHeight="15" x14ac:dyDescent="0.25"/>
  <cols>
    <col min="1" max="1" width="4" customWidth="1"/>
    <col min="2" max="2" width="27.140625" bestFit="1" customWidth="1"/>
    <col min="3" max="3" width="15.5703125" style="22" bestFit="1" customWidth="1"/>
    <col min="4" max="4" width="61" bestFit="1" customWidth="1"/>
    <col min="5" max="5" width="15.140625" bestFit="1" customWidth="1"/>
    <col min="6" max="6" width="32.5703125" customWidth="1"/>
    <col min="7" max="7" width="9.140625" customWidth="1"/>
    <col min="8" max="10" width="0" hidden="1" customWidth="1"/>
    <col min="11" max="16384" width="9.140625" hidden="1"/>
  </cols>
  <sheetData>
    <row r="2" spans="2:6" x14ac:dyDescent="0.25">
      <c r="B2" s="97" t="s">
        <v>260</v>
      </c>
      <c r="C2" s="98"/>
      <c r="D2" s="98"/>
    </row>
    <row r="3" spans="2:6" ht="30.75" customHeight="1" x14ac:dyDescent="0.25">
      <c r="B3" s="99" t="s">
        <v>261</v>
      </c>
      <c r="C3" s="100"/>
      <c r="D3" s="100"/>
    </row>
    <row r="5" spans="2:6" x14ac:dyDescent="0.25">
      <c r="B5" s="23"/>
    </row>
    <row r="6" spans="2:6" x14ac:dyDescent="0.25">
      <c r="B6" s="23"/>
    </row>
    <row r="7" spans="2:6" x14ac:dyDescent="0.25">
      <c r="B7" s="23"/>
    </row>
    <row r="9" spans="2:6" x14ac:dyDescent="0.25">
      <c r="B9" s="40" t="s">
        <v>104</v>
      </c>
      <c r="C9" s="40" t="s">
        <v>262</v>
      </c>
      <c r="D9" s="40" t="s">
        <v>116</v>
      </c>
      <c r="E9" s="40" t="s">
        <v>22</v>
      </c>
      <c r="F9" s="40" t="s">
        <v>25</v>
      </c>
    </row>
    <row r="10" spans="2:6" ht="45" x14ac:dyDescent="0.25">
      <c r="B10" s="41" t="s">
        <v>105</v>
      </c>
      <c r="C10" s="42" t="s">
        <v>108</v>
      </c>
      <c r="D10" s="43" t="s">
        <v>120</v>
      </c>
      <c r="E10" s="44" t="s">
        <v>52</v>
      </c>
      <c r="F10" s="45"/>
    </row>
    <row r="11" spans="2:6" x14ac:dyDescent="0.25">
      <c r="B11" s="41" t="s">
        <v>105</v>
      </c>
      <c r="C11" s="42" t="s">
        <v>257</v>
      </c>
      <c r="D11" s="43" t="s">
        <v>258</v>
      </c>
      <c r="E11" s="44" t="s">
        <v>52</v>
      </c>
      <c r="F11" s="46"/>
    </row>
    <row r="12" spans="2:6" ht="30" x14ac:dyDescent="0.25">
      <c r="B12" s="41" t="s">
        <v>107</v>
      </c>
      <c r="C12" s="42" t="s">
        <v>108</v>
      </c>
      <c r="D12" s="43" t="s">
        <v>121</v>
      </c>
      <c r="E12" s="44" t="s">
        <v>52</v>
      </c>
      <c r="F12" s="45"/>
    </row>
    <row r="13" spans="2:6" x14ac:dyDescent="0.25">
      <c r="B13" s="41" t="s">
        <v>107</v>
      </c>
      <c r="C13" s="42" t="s">
        <v>257</v>
      </c>
      <c r="D13" s="43" t="s">
        <v>258</v>
      </c>
      <c r="E13" s="44" t="s">
        <v>52</v>
      </c>
      <c r="F13" s="46"/>
    </row>
    <row r="14" spans="2:6" ht="60" x14ac:dyDescent="0.25">
      <c r="B14" s="41" t="s">
        <v>106</v>
      </c>
      <c r="C14" s="42" t="s">
        <v>109</v>
      </c>
      <c r="D14" s="43" t="s">
        <v>263</v>
      </c>
      <c r="E14" s="44" t="s">
        <v>52</v>
      </c>
      <c r="F14" s="45"/>
    </row>
    <row r="15" spans="2:6" x14ac:dyDescent="0.25">
      <c r="B15" s="41" t="s">
        <v>106</v>
      </c>
      <c r="C15" s="42" t="s">
        <v>257</v>
      </c>
      <c r="D15" s="43" t="s">
        <v>258</v>
      </c>
      <c r="E15" s="44" t="s">
        <v>52</v>
      </c>
      <c r="F15" s="46"/>
    </row>
    <row r="16" spans="2:6" ht="30" x14ac:dyDescent="0.25">
      <c r="B16" s="47" t="s">
        <v>136</v>
      </c>
      <c r="C16" s="42" t="s">
        <v>108</v>
      </c>
      <c r="D16" s="43" t="s">
        <v>132</v>
      </c>
      <c r="E16" s="44" t="s">
        <v>52</v>
      </c>
      <c r="F16" s="45"/>
    </row>
    <row r="17" spans="2:6" x14ac:dyDescent="0.25">
      <c r="B17" s="41" t="s">
        <v>133</v>
      </c>
      <c r="C17" s="42" t="s">
        <v>108</v>
      </c>
      <c r="D17" s="43" t="s">
        <v>60</v>
      </c>
      <c r="E17" s="44" t="s">
        <v>52</v>
      </c>
      <c r="F17" s="45"/>
    </row>
    <row r="18" spans="2:6" x14ac:dyDescent="0.25">
      <c r="B18" s="41" t="s">
        <v>134</v>
      </c>
      <c r="C18" s="42" t="s">
        <v>108</v>
      </c>
      <c r="D18" s="43" t="s">
        <v>60</v>
      </c>
      <c r="E18" s="44" t="s">
        <v>52</v>
      </c>
      <c r="F18" s="45"/>
    </row>
    <row r="19" spans="2:6" x14ac:dyDescent="0.25">
      <c r="B19" s="41" t="s">
        <v>135</v>
      </c>
      <c r="C19" s="42" t="s">
        <v>108</v>
      </c>
      <c r="D19" s="43" t="s">
        <v>142</v>
      </c>
      <c r="E19" s="44" t="s">
        <v>52</v>
      </c>
      <c r="F19" s="45"/>
    </row>
    <row r="20" spans="2:6" ht="45" x14ac:dyDescent="0.25">
      <c r="B20" s="41" t="s">
        <v>137</v>
      </c>
      <c r="C20" s="42" t="s">
        <v>108</v>
      </c>
      <c r="D20" s="43" t="s">
        <v>194</v>
      </c>
      <c r="E20" s="44" t="s">
        <v>52</v>
      </c>
      <c r="F20" s="45"/>
    </row>
    <row r="21" spans="2:6" ht="90" x14ac:dyDescent="0.25">
      <c r="B21" s="41" t="s">
        <v>145</v>
      </c>
      <c r="C21" s="42" t="s">
        <v>108</v>
      </c>
      <c r="D21" s="43" t="s">
        <v>195</v>
      </c>
      <c r="E21" s="44" t="s">
        <v>52</v>
      </c>
      <c r="F21" s="45"/>
    </row>
    <row r="22" spans="2:6" x14ac:dyDescent="0.25">
      <c r="B22" s="41" t="s">
        <v>113</v>
      </c>
      <c r="C22" s="48" t="s">
        <v>143</v>
      </c>
      <c r="D22" s="49" t="s">
        <v>144</v>
      </c>
      <c r="E22" s="44" t="s">
        <v>52</v>
      </c>
      <c r="F22" s="45"/>
    </row>
    <row r="23" spans="2:6" ht="60" x14ac:dyDescent="0.25">
      <c r="B23" s="41" t="s">
        <v>114</v>
      </c>
      <c r="C23" s="48" t="s">
        <v>143</v>
      </c>
      <c r="D23" s="43" t="s">
        <v>196</v>
      </c>
      <c r="E23" s="44" t="s">
        <v>52</v>
      </c>
      <c r="F23" s="45"/>
    </row>
    <row r="24" spans="2:6" ht="60" x14ac:dyDescent="0.25">
      <c r="B24" s="41" t="s">
        <v>110</v>
      </c>
      <c r="C24" s="42" t="s">
        <v>117</v>
      </c>
      <c r="D24" s="43" t="s">
        <v>197</v>
      </c>
      <c r="E24" s="44" t="s">
        <v>52</v>
      </c>
      <c r="F24" s="45"/>
    </row>
    <row r="25" spans="2:6" ht="90" x14ac:dyDescent="0.25">
      <c r="B25" s="41" t="s">
        <v>115</v>
      </c>
      <c r="C25" s="42" t="s">
        <v>118</v>
      </c>
      <c r="D25" s="43" t="s">
        <v>264</v>
      </c>
      <c r="E25" s="44" t="s">
        <v>52</v>
      </c>
      <c r="F25" s="45"/>
    </row>
    <row r="26" spans="2:6" ht="30" x14ac:dyDescent="0.25">
      <c r="B26" s="41" t="s">
        <v>111</v>
      </c>
      <c r="C26" s="42" t="s">
        <v>130</v>
      </c>
      <c r="D26" s="43" t="s">
        <v>122</v>
      </c>
      <c r="E26" s="44" t="s">
        <v>52</v>
      </c>
      <c r="F26" s="45"/>
    </row>
    <row r="27" spans="2:6" ht="75" x14ac:dyDescent="0.25">
      <c r="B27" s="41" t="s">
        <v>112</v>
      </c>
      <c r="C27" s="42" t="s">
        <v>119</v>
      </c>
      <c r="D27" s="43" t="s">
        <v>131</v>
      </c>
      <c r="E27" s="44" t="s">
        <v>52</v>
      </c>
      <c r="F27" s="45"/>
    </row>
    <row r="28" spans="2:6" x14ac:dyDescent="0.25">
      <c r="B28" s="21"/>
      <c r="C28" s="37"/>
      <c r="D28" s="38"/>
      <c r="E28" s="21"/>
      <c r="F28" s="35"/>
    </row>
    <row r="29" spans="2:6" x14ac:dyDescent="0.25">
      <c r="B29" s="40" t="s">
        <v>125</v>
      </c>
      <c r="C29" s="91" t="s">
        <v>219</v>
      </c>
      <c r="D29" s="91"/>
      <c r="E29" s="40" t="s">
        <v>248</v>
      </c>
      <c r="F29" s="22"/>
    </row>
    <row r="30" spans="2:6" ht="61.5" customHeight="1" x14ac:dyDescent="0.25">
      <c r="B30" s="50" t="s">
        <v>220</v>
      </c>
      <c r="C30" s="94" t="s">
        <v>224</v>
      </c>
      <c r="D30" s="94"/>
      <c r="E30" s="95" t="s">
        <v>223</v>
      </c>
      <c r="F30" s="22"/>
    </row>
    <row r="31" spans="2:6" ht="69" customHeight="1" x14ac:dyDescent="0.25">
      <c r="B31" s="50" t="s">
        <v>221</v>
      </c>
      <c r="C31" s="94" t="s">
        <v>225</v>
      </c>
      <c r="D31" s="94"/>
      <c r="E31" s="95"/>
      <c r="F31" s="22"/>
    </row>
    <row r="32" spans="2:6" ht="63.75" customHeight="1" x14ac:dyDescent="0.25">
      <c r="B32" s="50" t="s">
        <v>222</v>
      </c>
      <c r="C32" s="94" t="s">
        <v>226</v>
      </c>
      <c r="D32" s="94"/>
      <c r="E32" s="95"/>
      <c r="F32" s="22"/>
    </row>
    <row r="33" spans="2:7" ht="38.25" customHeight="1" x14ac:dyDescent="0.25">
      <c r="B33" s="50" t="s">
        <v>227</v>
      </c>
      <c r="C33" s="94" t="s">
        <v>228</v>
      </c>
      <c r="D33" s="94"/>
      <c r="E33" s="95"/>
      <c r="F33" s="22"/>
    </row>
    <row r="34" spans="2:7" x14ac:dyDescent="0.25">
      <c r="B34" s="1"/>
      <c r="C34"/>
    </row>
    <row r="35" spans="2:7" x14ac:dyDescent="0.25">
      <c r="B35" s="91" t="s">
        <v>126</v>
      </c>
      <c r="C35" s="91"/>
    </row>
    <row r="36" spans="2:7" ht="60" customHeight="1" x14ac:dyDescent="0.25">
      <c r="B36" s="101" t="s">
        <v>229</v>
      </c>
      <c r="C36" s="101"/>
      <c r="D36" s="22"/>
      <c r="E36" s="22"/>
      <c r="F36" s="22"/>
      <c r="G36" s="22"/>
    </row>
    <row r="37" spans="2:7" x14ac:dyDescent="0.25">
      <c r="B37" s="25"/>
      <c r="D37" s="22"/>
      <c r="E37" s="22"/>
      <c r="F37" s="22"/>
      <c r="G37" s="22"/>
    </row>
    <row r="38" spans="2:7" x14ac:dyDescent="0.25">
      <c r="B38" s="91" t="s">
        <v>124</v>
      </c>
      <c r="C38" s="91"/>
      <c r="D38" s="40" t="s">
        <v>237</v>
      </c>
      <c r="E38" s="22"/>
      <c r="F38" s="22"/>
      <c r="G38" s="22"/>
    </row>
    <row r="39" spans="2:7" x14ac:dyDescent="0.25">
      <c r="B39" s="96" t="s">
        <v>230</v>
      </c>
      <c r="C39" s="96"/>
      <c r="D39" s="43" t="s">
        <v>238</v>
      </c>
      <c r="E39" s="22"/>
      <c r="F39" s="22"/>
      <c r="G39" s="22"/>
    </row>
    <row r="40" spans="2:7" ht="75" x14ac:dyDescent="0.25">
      <c r="B40" s="96" t="s">
        <v>240</v>
      </c>
      <c r="C40" s="96"/>
      <c r="D40" s="43" t="s">
        <v>247</v>
      </c>
      <c r="E40" s="22"/>
      <c r="F40" s="22"/>
      <c r="G40" s="22"/>
    </row>
    <row r="41" spans="2:7" ht="30" x14ac:dyDescent="0.25">
      <c r="B41" s="96" t="s">
        <v>239</v>
      </c>
      <c r="C41" s="96"/>
      <c r="D41" s="43" t="s">
        <v>246</v>
      </c>
      <c r="E41" s="22"/>
      <c r="F41" s="22"/>
      <c r="G41" s="22"/>
    </row>
    <row r="42" spans="2:7" x14ac:dyDescent="0.25">
      <c r="B42" s="96" t="s">
        <v>231</v>
      </c>
      <c r="C42" s="96"/>
      <c r="D42" s="49" t="s">
        <v>241</v>
      </c>
      <c r="E42" s="22"/>
      <c r="F42" s="22"/>
      <c r="G42" s="22"/>
    </row>
    <row r="43" spans="2:7" ht="105" x14ac:dyDescent="0.25">
      <c r="B43" s="96" t="s">
        <v>232</v>
      </c>
      <c r="C43" s="96"/>
      <c r="D43" s="43" t="s">
        <v>249</v>
      </c>
      <c r="E43" s="22"/>
      <c r="F43" s="22"/>
      <c r="G43" s="22"/>
    </row>
    <row r="44" spans="2:7" ht="90" x14ac:dyDescent="0.25">
      <c r="B44" s="96" t="s">
        <v>233</v>
      </c>
      <c r="C44" s="96"/>
      <c r="D44" s="43" t="s">
        <v>242</v>
      </c>
      <c r="E44" s="22"/>
    </row>
    <row r="45" spans="2:7" x14ac:dyDescent="0.25">
      <c r="B45" s="96" t="s">
        <v>243</v>
      </c>
      <c r="C45" s="96"/>
      <c r="D45" s="49"/>
      <c r="E45" s="22"/>
    </row>
    <row r="46" spans="2:7" x14ac:dyDescent="0.25">
      <c r="B46" s="96" t="s">
        <v>234</v>
      </c>
      <c r="C46" s="96"/>
      <c r="D46" s="49"/>
      <c r="E46" s="22"/>
    </row>
    <row r="47" spans="2:7" x14ac:dyDescent="0.25">
      <c r="B47" s="96" t="s">
        <v>235</v>
      </c>
      <c r="C47" s="96"/>
      <c r="D47" s="49" t="s">
        <v>245</v>
      </c>
      <c r="E47" s="22"/>
    </row>
    <row r="48" spans="2:7" ht="60" x14ac:dyDescent="0.25">
      <c r="B48" s="96" t="s">
        <v>236</v>
      </c>
      <c r="C48" s="96"/>
      <c r="D48" s="43" t="s">
        <v>244</v>
      </c>
      <c r="E48" s="22"/>
    </row>
    <row r="49" spans="2:4" x14ac:dyDescent="0.25">
      <c r="D49" s="22"/>
    </row>
    <row r="50" spans="2:4" x14ac:dyDescent="0.25">
      <c r="B50" s="34" t="s">
        <v>253</v>
      </c>
      <c r="D50" s="22"/>
    </row>
    <row r="51" spans="2:4" x14ac:dyDescent="0.25">
      <c r="B51" s="27" t="s">
        <v>254</v>
      </c>
      <c r="D51" s="22"/>
    </row>
    <row r="52" spans="2:4" x14ac:dyDescent="0.25">
      <c r="B52" s="22"/>
      <c r="D52" s="22"/>
    </row>
    <row r="53" spans="2:4" x14ac:dyDescent="0.25">
      <c r="B53" s="22"/>
      <c r="D53" s="22"/>
    </row>
    <row r="54" spans="2:4" x14ac:dyDescent="0.25">
      <c r="B54" s="22"/>
      <c r="D54" s="22"/>
    </row>
    <row r="55" spans="2:4" x14ac:dyDescent="0.25">
      <c r="B55" s="22"/>
      <c r="D55" s="22"/>
    </row>
    <row r="56" spans="2:4" x14ac:dyDescent="0.25">
      <c r="B56" s="22"/>
      <c r="D56" s="22"/>
    </row>
    <row r="57" spans="2:4" x14ac:dyDescent="0.25">
      <c r="B57" s="22"/>
      <c r="D57" s="22"/>
    </row>
    <row r="58" spans="2:4" x14ac:dyDescent="0.25">
      <c r="B58" s="22"/>
      <c r="D58" s="22"/>
    </row>
  </sheetData>
  <mergeCells count="21">
    <mergeCell ref="B48:C48"/>
    <mergeCell ref="B2:D2"/>
    <mergeCell ref="B3:D3"/>
    <mergeCell ref="B42:C42"/>
    <mergeCell ref="B43:C43"/>
    <mergeCell ref="B44:C44"/>
    <mergeCell ref="B45:C45"/>
    <mergeCell ref="B46:C46"/>
    <mergeCell ref="B47:C47"/>
    <mergeCell ref="B35:C35"/>
    <mergeCell ref="B36:C36"/>
    <mergeCell ref="B38:C38"/>
    <mergeCell ref="B39:C39"/>
    <mergeCell ref="B40:C40"/>
    <mergeCell ref="B41:C41"/>
    <mergeCell ref="C29:D29"/>
    <mergeCell ref="C30:D30"/>
    <mergeCell ref="C31:D31"/>
    <mergeCell ref="C32:D32"/>
    <mergeCell ref="C33:D33"/>
    <mergeCell ref="E30:E33"/>
  </mergeCells>
  <hyperlinks>
    <hyperlink ref="E30:E32" r:id="rId1" display="Site" xr:uid="{3BEACEC6-B2B0-4B47-8A89-12B228D4C91C}"/>
  </hyperlinks>
  <pageMargins left="0.511811024" right="0.511811024" top="0.78740157499999996" bottom="0.78740157499999996" header="0.31496062000000002" footer="0.31496062000000002"/>
  <ignoredErrors>
    <ignoredError sqref="C26 C16:C21 C12 C14 C10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0970E8-D4D8-4810-840C-0B0993CDB987}">
          <x14:formula1>
            <xm:f>Dados!$B$4:$B$6</xm:f>
          </x14:formula1>
          <xm:sqref>E10:E28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8B26-A48C-41F7-B365-EFB70D5392E7}">
  <dimension ref="A1:J13"/>
  <sheetViews>
    <sheetView showGridLines="0" zoomScale="115" zoomScaleNormal="115" workbookViewId="0">
      <pane xSplit="1" ySplit="6" topLeftCell="B7" activePane="bottomRight" state="frozen"/>
      <selection activeCell="D37" sqref="D37"/>
      <selection pane="topRight" activeCell="D37" sqref="D37"/>
      <selection pane="bottomLeft" activeCell="D37" sqref="D37"/>
      <selection pane="bottomRight" activeCell="D37" sqref="D37"/>
    </sheetView>
  </sheetViews>
  <sheetFormatPr defaultColWidth="0" defaultRowHeight="15" zeroHeight="1" x14ac:dyDescent="0.25"/>
  <cols>
    <col min="1" max="1" width="3.5703125" customWidth="1"/>
    <col min="2" max="2" width="10.28515625" bestFit="1" customWidth="1"/>
    <col min="3" max="3" width="9.85546875" customWidth="1"/>
    <col min="4" max="4" width="33" customWidth="1"/>
    <col min="5" max="5" width="36.28515625" customWidth="1"/>
    <col min="6" max="6" width="11.5703125" style="21" customWidth="1"/>
    <col min="7" max="7" width="28.28515625" hidden="1" customWidth="1"/>
    <col min="8" max="8" width="16.42578125" customWidth="1"/>
    <col min="9" max="9" width="42.42578125" style="21" customWidth="1"/>
    <col min="10" max="10" width="3.5703125" customWidth="1"/>
    <col min="11" max="16384" width="9.140625" hidden="1"/>
  </cols>
  <sheetData>
    <row r="1" spans="2:9" x14ac:dyDescent="0.25"/>
    <row r="2" spans="2:9" x14ac:dyDescent="0.25"/>
    <row r="3" spans="2:9" x14ac:dyDescent="0.25"/>
    <row r="4" spans="2:9" x14ac:dyDescent="0.25"/>
    <row r="5" spans="2:9" x14ac:dyDescent="0.25"/>
    <row r="6" spans="2:9" x14ac:dyDescent="0.25">
      <c r="B6" s="63" t="s">
        <v>176</v>
      </c>
      <c r="C6" s="64" t="s">
        <v>177</v>
      </c>
      <c r="D6" s="64" t="s">
        <v>319</v>
      </c>
      <c r="E6" s="64" t="s">
        <v>178</v>
      </c>
      <c r="F6" s="64" t="s">
        <v>179</v>
      </c>
      <c r="G6" s="64" t="s">
        <v>180</v>
      </c>
      <c r="H6" s="36" t="s">
        <v>198</v>
      </c>
      <c r="I6" s="65" t="s">
        <v>25</v>
      </c>
    </row>
    <row r="7" spans="2:9" ht="216.75" x14ac:dyDescent="0.25">
      <c r="B7" s="66" t="s">
        <v>183</v>
      </c>
      <c r="C7" s="67" t="s">
        <v>187</v>
      </c>
      <c r="D7" s="68" t="s">
        <v>192</v>
      </c>
      <c r="E7" s="68" t="s">
        <v>316</v>
      </c>
      <c r="F7" s="67">
        <v>1</v>
      </c>
      <c r="G7" s="69" t="s">
        <v>203</v>
      </c>
      <c r="H7" s="67" t="s">
        <v>256</v>
      </c>
      <c r="I7" s="45" t="s">
        <v>259</v>
      </c>
    </row>
    <row r="8" spans="2:9" ht="114.75" x14ac:dyDescent="0.25">
      <c r="B8" s="70" t="s">
        <v>181</v>
      </c>
      <c r="C8" s="67" t="s">
        <v>187</v>
      </c>
      <c r="D8" s="68" t="s">
        <v>39</v>
      </c>
      <c r="E8" s="68" t="s">
        <v>188</v>
      </c>
      <c r="F8" s="67">
        <v>2</v>
      </c>
      <c r="G8" s="67" t="s">
        <v>189</v>
      </c>
      <c r="H8" s="67" t="s">
        <v>199</v>
      </c>
      <c r="I8" s="45"/>
    </row>
    <row r="9" spans="2:9" ht="63.75" x14ac:dyDescent="0.25">
      <c r="B9" s="71" t="s">
        <v>182</v>
      </c>
      <c r="C9" s="67" t="s">
        <v>187</v>
      </c>
      <c r="D9" s="68" t="s">
        <v>38</v>
      </c>
      <c r="E9" s="68" t="s">
        <v>318</v>
      </c>
      <c r="F9" s="67">
        <v>3</v>
      </c>
      <c r="G9" s="67" t="s">
        <v>190</v>
      </c>
      <c r="H9" s="67" t="s">
        <v>199</v>
      </c>
      <c r="I9" s="45"/>
    </row>
    <row r="10" spans="2:9" ht="102" x14ac:dyDescent="0.25">
      <c r="B10" s="72" t="s">
        <v>184</v>
      </c>
      <c r="C10" s="67" t="s">
        <v>187</v>
      </c>
      <c r="D10" s="68" t="s">
        <v>40</v>
      </c>
      <c r="E10" s="68" t="s">
        <v>315</v>
      </c>
      <c r="F10" s="67">
        <v>4</v>
      </c>
      <c r="G10" s="69" t="s">
        <v>202</v>
      </c>
      <c r="H10" s="67" t="s">
        <v>199</v>
      </c>
      <c r="I10" s="45"/>
    </row>
    <row r="11" spans="2:9" ht="267.75" customHeight="1" x14ac:dyDescent="0.25">
      <c r="B11" s="73" t="s">
        <v>185</v>
      </c>
      <c r="C11" s="67" t="s">
        <v>187</v>
      </c>
      <c r="D11" s="68" t="s">
        <v>317</v>
      </c>
      <c r="E11" s="68" t="s">
        <v>314</v>
      </c>
      <c r="F11" s="67">
        <v>5</v>
      </c>
      <c r="G11" s="69" t="s">
        <v>201</v>
      </c>
      <c r="H11" s="67" t="s">
        <v>199</v>
      </c>
      <c r="I11" s="45"/>
    </row>
    <row r="12" spans="2:9" ht="89.25" x14ac:dyDescent="0.25">
      <c r="B12" s="74" t="s">
        <v>186</v>
      </c>
      <c r="C12" s="67" t="s">
        <v>187</v>
      </c>
      <c r="D12" s="68" t="s">
        <v>41</v>
      </c>
      <c r="E12" s="68" t="s">
        <v>191</v>
      </c>
      <c r="F12" s="67">
        <v>6</v>
      </c>
      <c r="G12" s="69" t="s">
        <v>200</v>
      </c>
      <c r="H12" s="67" t="s">
        <v>199</v>
      </c>
      <c r="I12" s="45"/>
    </row>
    <row r="13" spans="2:9" x14ac:dyDescent="0.25"/>
  </sheetData>
  <dataConsolidate/>
  <conditionalFormatting sqref="H7:H12">
    <cfRule type="cellIs" dxfId="1" priority="1" operator="equal">
      <formula>"Não"</formula>
    </cfRule>
    <cfRule type="cellIs" dxfId="0" priority="3" operator="equal">
      <formula>"Sim"</formula>
    </cfRule>
  </conditionalFormatting>
  <dataValidations count="1">
    <dataValidation type="list" allowBlank="1" showInputMessage="1" showErrorMessage="1" sqref="H7:H12" xr:uid="{1998E14B-A669-48D7-862D-2ACAEBFB7153}">
      <formula1>"Sim,Não"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807A-C42A-42DA-91F1-9F639832C49A}">
  <dimension ref="A1"/>
  <sheetViews>
    <sheetView showGridLines="0" workbookViewId="0">
      <selection activeCell="D37" sqref="D3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7F99A-888C-4C06-9E70-E629901A03E9}">
  <dimension ref="A1"/>
  <sheetViews>
    <sheetView showGridLines="0" workbookViewId="0">
      <selection activeCell="D37" sqref="D3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Dados</vt:lpstr>
      <vt:lpstr>Home</vt:lpstr>
      <vt:lpstr>Info</vt:lpstr>
      <vt:lpstr>Roadmap Geral</vt:lpstr>
      <vt:lpstr>LvL e Skills</vt:lpstr>
      <vt:lpstr>Missões</vt:lpstr>
      <vt:lpstr>Equipamentos e Build</vt:lpstr>
      <vt:lpstr>Pedras do Dragão</vt:lpstr>
      <vt:lpstr>Controle de Custos</vt:lpstr>
      <vt:lpstr>Registro de Erros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Ednaldo Victor</dc:creator>
  <cp:lastModifiedBy>Ednaldo Victor</cp:lastModifiedBy>
  <dcterms:created xsi:type="dcterms:W3CDTF">2026-02-26T19:55:39Z</dcterms:created>
  <dcterms:modified xsi:type="dcterms:W3CDTF">2026-03-03T22:18:09Z</dcterms:modified>
</cp:coreProperties>
</file>